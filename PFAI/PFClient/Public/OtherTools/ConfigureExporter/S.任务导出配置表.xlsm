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jdecontrols/jdecontrol1.xml" ContentType="application/vnd.wps-officedocument.jdeControl+xml"/>
  <Override PartName="/xl/jdecontrols/jdecontrol2.xml" ContentType="application/vnd.wps-officedocument.jdeControl+xml"/>
  <Override PartName="/xl/jdecontrols/jdecontrol3.xml" ContentType="application/vnd.wps-officedocument.jdeControl+xml"/>
  <Override PartName="/xl/jdecontrols/jdecontrol4.xml" ContentType="application/vnd.wps-officedocument.jdeControl+xml"/>
  <Override PartName="/xl/jdecontrols/jdecontrol5.xml" ContentType="application/vnd.wps-officedocument.jdeControl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7945" windowHeight="12375" tabRatio="925"/>
  </bookViews>
  <sheets>
    <sheet name="发布任务" sheetId="1" r:id="rId1"/>
    <sheet name="编写对白" sheetId="2" r:id="rId2"/>
    <sheet name="捏造NPC" sheetId="11" r:id="rId3"/>
    <sheet name="搭建场景（待定）" sheetId="12" r:id="rId4"/>
    <sheet name="NewGuideNode" sheetId="10" r:id="rId5"/>
    <sheet name="ClientNpc" sheetId="16" r:id="rId6"/>
    <sheet name="MisBase" sheetId="3" r:id="rId7"/>
    <sheet name="MisDialog" sheetId="7" r:id="rId8"/>
    <sheet name="MisDictionary" sheetId="5" r:id="rId9"/>
    <sheet name="MisBonus" sheetId="6" r:id="rId10"/>
    <sheet name="MisLimit" sheetId="4" r:id="rId11"/>
    <sheet name="NpcDialog" sheetId="19" r:id="rId12"/>
    <sheet name="NpcAttr" sheetId="13" r:id="rId13"/>
    <sheet name="NewGuideTrigger" sheetId="9" r:id="rId14"/>
    <sheet name="SceneNpc" sheetId="17" r:id="rId15"/>
    <sheet name="RoleBaseAttr" sheetId="15" r:id="rId16"/>
    <sheet name="CharModel" sheetId="14" r:id="rId17"/>
    <sheet name="MisNewGuide" sheetId="8" r:id="rId18"/>
  </sheets>
  <definedNames>
    <definedName name="_xlnm._FilterDatabase" localSheetId="0" hidden="1">发布任务!$I$4:$AD$24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<sst xmlns="http://schemas.openxmlformats.org/spreadsheetml/2006/main" count="2203" uniqueCount="1168">
  <si>
    <t>最多可新增20个任务和引导</t>
  </si>
  <si>
    <t>任务</t>
  </si>
  <si>
    <t>新增任务数量</t>
  </si>
  <si>
    <t>起始ID</t>
  </si>
  <si>
    <t>填好点【工具】-【运行宏】中运行MisDialog，然后去【编写对白】中写对话</t>
  </si>
  <si>
    <t>在【捏造NPC】中填好所需NPC，自动生成下拉列表</t>
  </si>
  <si>
    <t>任务ID</t>
  </si>
  <si>
    <t>任务备注名称</t>
  </si>
  <si>
    <t>任务正式名称</t>
  </si>
  <si>
    <t>任务面板描述</t>
  </si>
  <si>
    <t>任务追踪描述</t>
  </si>
  <si>
    <t>进度</t>
  </si>
  <si>
    <t>任务类型</t>
  </si>
  <si>
    <t>任务逻辑</t>
  </si>
  <si>
    <t>客户端任务</t>
  </si>
  <si>
    <t>自动接取</t>
  </si>
  <si>
    <t>上一个任务</t>
  </si>
  <si>
    <t>下一个任务</t>
  </si>
  <si>
    <t>最小接取等级</t>
  </si>
  <si>
    <t>可放弃</t>
  </si>
  <si>
    <t>事件触发器</t>
  </si>
  <si>
    <t>接取时对话句数</t>
  </si>
  <si>
    <t>交付时对话句数</t>
  </si>
  <si>
    <t>接任务NPC</t>
  </si>
  <si>
    <t>交任务NPC</t>
  </si>
  <si>
    <t>任务目标NPC</t>
  </si>
  <si>
    <t>灰色区域勿动</t>
  </si>
  <si>
    <t>资13-军衔任务</t>
  </si>
  <si>
    <t>初始军衔</t>
  </si>
  <si>
    <t>军衔引导1</t>
  </si>
  <si>
    <t>完成军衔引导</t>
  </si>
  <si>
    <t>0/1</t>
  </si>
  <si>
    <t>主线</t>
  </si>
  <si>
    <t>脚本</t>
  </si>
  <si>
    <t>是</t>
  </si>
  <si>
    <t>没有</t>
  </si>
  <si>
    <t>马腾云</t>
  </si>
  <si>
    <t>资12-军衔-夏风</t>
  </si>
  <si>
    <t>无角色/玩家</t>
  </si>
  <si>
    <t>资14-军衔任务</t>
  </si>
  <si>
    <t>军衔引导2</t>
  </si>
  <si>
    <t>杀怪</t>
  </si>
  <si>
    <t>资13-军衔-翼楠</t>
  </si>
  <si>
    <t>资15-军衔任务</t>
  </si>
  <si>
    <t>军衔引导3</t>
  </si>
  <si>
    <t>收集</t>
  </si>
  <si>
    <t>否</t>
  </si>
  <si>
    <t>资14-军衔-云隐</t>
  </si>
  <si>
    <t>引导</t>
  </si>
  <si>
    <t>新增引导数量</t>
  </si>
  <si>
    <t>填好点【工具】-【运行宏】中运行NewGuideNode和NewGuideTrigger，NewGuideNode生成后仍需要手填一些信息</t>
  </si>
  <si>
    <t>引导ID</t>
  </si>
  <si>
    <t>引导步骤</t>
  </si>
  <si>
    <t>引导触发方式</t>
  </si>
  <si>
    <t>引导描述</t>
  </si>
  <si>
    <t>关联任务</t>
  </si>
  <si>
    <t>引导人物</t>
  </si>
  <si>
    <t>点击引导最后一步完成任务</t>
  </si>
  <si>
    <t>手动点击</t>
  </si>
  <si>
    <t>瑶花</t>
  </si>
  <si>
    <t>夏风</t>
  </si>
  <si>
    <t>对白ID</t>
  </si>
  <si>
    <t>任务对话备注名称</t>
  </si>
  <si>
    <t>说话人</t>
  </si>
  <si>
    <t>镜头</t>
  </si>
  <si>
    <t>对话内容</t>
  </si>
  <si>
    <t>初始军衔-接取任务</t>
  </si>
  <si>
    <t>特写</t>
  </si>
  <si>
    <t>大家佛为建瓯附件为，发呢欧文金佛微积分哦，附件欧文金佛我</t>
  </si>
  <si>
    <t>初始军衔-交取任务</t>
  </si>
  <si>
    <t>初始军衔-再次接取任务</t>
  </si>
  <si>
    <t>最多可新增20个NPC</t>
  </si>
  <si>
    <t>新增NPC数量</t>
  </si>
  <si>
    <t>起始角色ID</t>
  </si>
  <si>
    <t>ClienNpcID起始</t>
  </si>
  <si>
    <t>SceneNpcID起始</t>
  </si>
  <si>
    <t>客户端和野外场景，填写后点击【工具】-【运行宏】中ClinetNpc或SceneNpc</t>
  </si>
  <si>
    <t>填写后【工具】-【运行宏】NpcDialog自动生成</t>
  </si>
  <si>
    <t>战斗NPC属性，不是战斗NPC不填写</t>
  </si>
  <si>
    <t>角色ID</t>
  </si>
  <si>
    <t>ClientNpcID</t>
  </si>
  <si>
    <t>SceneNpcID</t>
  </si>
  <si>
    <t>CharModelID</t>
  </si>
  <si>
    <t>角色备注名称</t>
  </si>
  <si>
    <t>角色正式名称</t>
  </si>
  <si>
    <t>角色称号</t>
  </si>
  <si>
    <t>模型资源名称</t>
  </si>
  <si>
    <t>动作路径</t>
  </si>
  <si>
    <t>NPC位置类型</t>
  </si>
  <si>
    <t>所属场景</t>
  </si>
  <si>
    <t>位置X</t>
  </si>
  <si>
    <t>位置Y</t>
  </si>
  <si>
    <t>位置Z</t>
  </si>
  <si>
    <t>Npc朝向(填角度)</t>
  </si>
  <si>
    <t>是否为战斗NPC</t>
  </si>
  <si>
    <t>NPC默认对白（战斗NPC可不填）</t>
  </si>
  <si>
    <t>类别</t>
  </si>
  <si>
    <t>等级</t>
  </si>
  <si>
    <t>近战或远程</t>
  </si>
  <si>
    <t>技能选择策略（NpcSkillStrategy表格ID）</t>
  </si>
  <si>
    <t>战斗属性索引（NpcAttrInitial表格ID）</t>
  </si>
  <si>
    <t>攻击间隔时间</t>
  </si>
  <si>
    <t>势力</t>
  </si>
  <si>
    <t>默认技能队列（NpcSkillTimeQueue表ID）</t>
  </si>
  <si>
    <t>是否复活</t>
  </si>
  <si>
    <t>Zy_yaoshounan_110</t>
  </si>
  <si>
    <t>Player/Yaoshou/Human</t>
  </si>
  <si>
    <t>客户端NPC</t>
  </si>
  <si>
    <t>你好</t>
  </si>
  <si>
    <t>翼楠</t>
  </si>
  <si>
    <t>副本场景NPC</t>
  </si>
  <si>
    <t>精英</t>
  </si>
  <si>
    <t>远程</t>
  </si>
  <si>
    <t>敌对</t>
  </si>
  <si>
    <t>云隐</t>
  </si>
  <si>
    <t>野外场景NPC</t>
  </si>
  <si>
    <r>
      <rPr>
        <b/>
        <sz val="11"/>
        <color theme="1"/>
        <rFont val="微软雅黑"/>
        <charset val="134"/>
      </rPr>
      <t>管理所需NPC位置</t>
    </r>
    <r>
      <rPr>
        <b/>
        <sz val="11"/>
        <color rgb="FFFF0000"/>
        <rFont val="微软雅黑"/>
        <charset val="134"/>
      </rPr>
      <t>(手动填写支持10个，新增NPC自动生成，请勿删除第1行）</t>
    </r>
  </si>
  <si>
    <t>角色名称</t>
  </si>
  <si>
    <t>Npc朝向</t>
  </si>
  <si>
    <t/>
  </si>
  <si>
    <t>通用场景</t>
  </si>
  <si>
    <t>场景序号</t>
  </si>
  <si>
    <t>场景名称</t>
  </si>
  <si>
    <t>Id</t>
  </si>
  <si>
    <t>Desc</t>
  </si>
  <si>
    <t>DecDicID</t>
  </si>
  <si>
    <t>SoundID</t>
  </si>
  <si>
    <t>MotionType</t>
  </si>
  <si>
    <t>MotionTypeH</t>
  </si>
  <si>
    <t>GuideStyle</t>
  </si>
  <si>
    <t>HalfpicOffset</t>
  </si>
  <si>
    <t>HalfpicPath</t>
  </si>
  <si>
    <t>OffsetPosX</t>
  </si>
  <si>
    <t>OffsetPosY</t>
  </si>
  <si>
    <t>IsForceGuide</t>
  </si>
  <si>
    <t>IsMaskEnable</t>
  </si>
  <si>
    <t>IsEnableClickEveryWhere</t>
  </si>
  <si>
    <t>IsFally</t>
  </si>
  <si>
    <t>SetComplete</t>
  </si>
  <si>
    <t>ShowComplete</t>
  </si>
  <si>
    <t>CloseFunc</t>
  </si>
  <si>
    <t>MaxGuideTimes</t>
  </si>
  <si>
    <t>GuidePanelDepth</t>
  </si>
  <si>
    <t>OnGuideClickEvent</t>
  </si>
  <si>
    <t>AutoCloseTime</t>
  </si>
  <si>
    <t>TweenAlphaGuide</t>
  </si>
  <si>
    <t>TweenPosGuide</t>
  </si>
  <si>
    <t>DelayGuideTime</t>
  </si>
  <si>
    <t>PlayingBtnEffect</t>
  </si>
  <si>
    <t>RideSkip</t>
  </si>
  <si>
    <t>FlySkip</t>
  </si>
  <si>
    <t>ShowJoyStick</t>
  </si>
  <si>
    <t>FixUpdatePos</t>
  </si>
  <si>
    <t>INT</t>
  </si>
  <si>
    <t>STRING</t>
  </si>
  <si>
    <t>FLOAT</t>
  </si>
  <si>
    <t>#</t>
  </si>
  <si>
    <t>#ID</t>
  </si>
  <si>
    <t>描述</t>
  </si>
  <si>
    <t>引导文字字典ID</t>
  </si>
  <si>
    <t>引导声音ID</t>
  </si>
  <si>
    <t>引导文字方向（竖版）（0默认 1左 2右 3上 4下）</t>
  </si>
  <si>
    <t>引导文字方向（横版）（0默认 1左 2右 3上 4下）</t>
  </si>
  <si>
    <t>引导方式（0箭头 1半身像）</t>
  </si>
  <si>
    <t>半身像偏移位置（效果不正确）</t>
  </si>
  <si>
    <t>半身像图片路径</t>
  </si>
  <si>
    <t>引导文字X偏移</t>
  </si>
  <si>
    <t>引导文字Y偏移</t>
  </si>
  <si>
    <t>是否为强制引导（0不强制 1强制）</t>
  </si>
  <si>
    <t>是否有黑色遮罩效果（0无 1有）</t>
  </si>
  <si>
    <t>点击任意处是否能关闭引导（0不关闭 1关闭）</t>
  </si>
  <si>
    <t>是否为引导最后一步（0不是 1是）</t>
  </si>
  <si>
    <t>完成该步后尝试完成任务</t>
  </si>
  <si>
    <t>出现该步后尝试完成任务</t>
  </si>
  <si>
    <t>关闭功能界面</t>
  </si>
  <si>
    <t>最大可重复引导次数</t>
  </si>
  <si>
    <t>引导面板深度</t>
  </si>
  <si>
    <t>点击引导触发事件</t>
  </si>
  <si>
    <t>自动关闭引导的时间</t>
  </si>
  <si>
    <t>聚拢动画透明度程度</t>
  </si>
  <si>
    <t>聚拢效果</t>
  </si>
  <si>
    <t>延迟播放引导时间</t>
  </si>
  <si>
    <t>是否播放引导按钮特效</t>
  </si>
  <si>
    <t>是否骑乘中跳过引导</t>
  </si>
  <si>
    <t>是否飞行中跳过引导</t>
  </si>
  <si>
    <t>是否开启摇杆指引</t>
  </si>
  <si>
    <t>实时更新引导位置</t>
  </si>
  <si>
    <t>NewbieGuide_NpcIcon</t>
  </si>
  <si>
    <t>xinshouyindao_img_xiafeng</t>
  </si>
  <si>
    <t>DataID</t>
  </si>
  <si>
    <t>FlyDataID</t>
  </si>
  <si>
    <t>FellowDistance</t>
  </si>
  <si>
    <t>FellowDir</t>
  </si>
  <si>
    <t>SceneID</t>
  </si>
  <si>
    <t>ForbidSceneType0</t>
  </si>
  <si>
    <t>ForbidSceneType1</t>
  </si>
  <si>
    <t>ForbidSceneType2</t>
  </si>
  <si>
    <t>PosX</t>
  </si>
  <si>
    <t>PosY</t>
  </si>
  <si>
    <t>PosZ</t>
  </si>
  <si>
    <t>FaceDirection</t>
  </si>
  <si>
    <t>FlyStat</t>
  </si>
  <si>
    <t>CreateMisId</t>
  </si>
  <si>
    <t>CreateMisState</t>
  </si>
  <si>
    <t>RemoveMisId</t>
  </si>
  <si>
    <t>RemoveMisState</t>
  </si>
  <si>
    <t>QiYuTargetID</t>
  </si>
  <si>
    <t>CreatType</t>
  </si>
  <si>
    <t>NoCutOut</t>
  </si>
  <si>
    <t>MinCreateDate</t>
  </si>
  <si>
    <t>MaxCreateDate</t>
  </si>
  <si>
    <t>#MAX_ID=7999;MAX_RECORD=8000;TableType=Hash;</t>
  </si>
  <si>
    <t>#唯一标示</t>
  </si>
  <si>
    <t>描述，策划维护，此列程序不读</t>
  </si>
  <si>
    <t>空中DataID</t>
  </si>
  <si>
    <t>跟随玩家的距离</t>
  </si>
  <si>
    <t>跟随玩家的角度（正前方是0，正后方是180）</t>
  </si>
  <si>
    <t>所属场景ID为-1时，检查禁止进入的场景类型</t>
  </si>
  <si>
    <t>Npc朝向(弧度数值)</t>
  </si>
  <si>
    <t>是否在空中</t>
  </si>
  <si>
    <t>创建任务Id</t>
  </si>
  <si>
    <t>创建任务状态(1已接受 2完成 3失败 4提交)</t>
  </si>
  <si>
    <t>移除任务Id</t>
  </si>
  <si>
    <t>移除任务状态(1已接受 2完成 3失败 4提交)</t>
  </si>
  <si>
    <t>只在有这个奇遇任务的时候创建</t>
  </si>
  <si>
    <t>创建类型 0=场景初始化加载 1= 场景初始化不加载</t>
  </si>
  <si>
    <t>不走视野剪裁？</t>
  </si>
  <si>
    <t>该时间点之后才能创建，-1为不限制</t>
  </si>
  <si>
    <t>该时间点之前才能创建，-1为不限制</t>
  </si>
  <si>
    <t>LimitID</t>
  </si>
  <si>
    <t>BonusID</t>
  </si>
  <si>
    <t>MisType</t>
  </si>
  <si>
    <t>SubMisType</t>
  </si>
  <si>
    <t>LogicType</t>
  </si>
  <si>
    <t>LogicID0</t>
  </si>
  <si>
    <t>LogicID1</t>
  </si>
  <si>
    <t>LogicID2</t>
  </si>
  <si>
    <t>ScriptID</t>
  </si>
  <si>
    <t>NextMisID0</t>
  </si>
  <si>
    <t>NextMisID1</t>
  </si>
  <si>
    <t>NextYaoShouMisID0</t>
  </si>
  <si>
    <t>NextYaoShouMisID1</t>
  </si>
  <si>
    <t>NextYaoJingMisID0</t>
  </si>
  <si>
    <t>NextYaoJingMisID1</t>
  </si>
  <si>
    <t>NextYuMangMisID0</t>
  </si>
  <si>
    <t>NextYuMangMisID1</t>
  </si>
  <si>
    <t>NextYuLingMisID0</t>
  </si>
  <si>
    <t>NextYuLingMisID1</t>
  </si>
  <si>
    <t>NextWuXiaMisID0</t>
  </si>
  <si>
    <t>NextWuXiaMisID1</t>
  </si>
  <si>
    <t>NextFaShiMisID0</t>
  </si>
  <si>
    <t>NextFaShiMisID1</t>
  </si>
  <si>
    <t>NextYaoRenMisID0</t>
  </si>
  <si>
    <t>NextYaoRenMisID1</t>
  </si>
  <si>
    <t>NextYuLanMisID0</t>
  </si>
  <si>
    <t>NextYuLanMisID1</t>
  </si>
  <si>
    <t>NextDaoChaMisID0</t>
  </si>
  <si>
    <t>NextDaoChaMisID1</t>
  </si>
  <si>
    <t>ChapterID</t>
  </si>
  <si>
    <t>IsClientMis</t>
  </si>
  <si>
    <t>IsCanAskHelp</t>
  </si>
  <si>
    <t>IsFriendMis</t>
  </si>
  <si>
    <t>AutoAccept</t>
  </si>
  <si>
    <t>AutoAcceptTrigerType</t>
  </si>
  <si>
    <t>AutoSendMailWriterName</t>
  </si>
  <si>
    <t>AutoSendMailContent</t>
  </si>
  <si>
    <t>AutoComit</t>
  </si>
  <si>
    <t>EventTriggerID</t>
  </si>
  <si>
    <t>IsCanAbandon</t>
  </si>
  <si>
    <t>RealMisId</t>
  </si>
  <si>
    <t>StatisticsID</t>
  </si>
  <si>
    <t>MisGuideId</t>
  </si>
  <si>
    <t>MisStateNeedMove1</t>
  </si>
  <si>
    <t>MisStateNeedMove2</t>
  </si>
  <si>
    <t>MisStateNeedMove3</t>
  </si>
  <si>
    <t>MisStateNeedMove4</t>
  </si>
  <si>
    <t>MisAddBuff</t>
  </si>
  <si>
    <t>IsSkipHalfAutoMis</t>
  </si>
  <si>
    <t>#MAX_ID=10240;MAX_RECORD=10240;TableType=Hash;</t>
  </si>
  <si>
    <t>N</t>
  </si>
  <si>
    <t>#任务ID(新职业第一个任务规则， 101 + 职业id)</t>
  </si>
  <si>
    <t>本列程序不读</t>
  </si>
  <si>
    <t>任务限制ID</t>
  </si>
  <si>
    <t>奖励ID（对应BonusTable.txt）</t>
  </si>
  <si>
    <t>任务类型（1=修真；2=主线；3=传奇；4=隐藏；5=支线；6=势力环任务；7=帮会任务；8=节日任务；9=通用跑环任务；10=赏善罚恶任务；11=平魔任务；12=引导任务；13=普通神谕任务，14=稀有神谕任务，15=结婚任务；16=合照任务 17=师徒任务；18=主线引导任务；19=每日任务；20=轶事任务）</t>
  </si>
  <si>
    <t>子任务逻辑 1 挖宝任务 2 跑环任务 3 结婚任务（日常/纪念日）</t>
  </si>
  <si>
    <t>任务逻辑方式（1=剧情&lt;废弃&gt;；2=杀怪；3=送信；4=收集；5=探索；6=杀怪寻物；7=副本杀怪；8=升级；9=采集类任务&lt;MisPickitem&gt;；10=多人副本任务（帮派专用，带求助）；12=等待倒计时类任务；13=脚本任务；14=动作类任务&lt;MisAction&gt;；15=多人镜像副本类任务；16=提交货币类任务，17修真镜像副本任务，打过即完成。18拍照任务，19奇遇专用延时任务，20左右选项，21问答，23双人交互动作，25发言，26结婚发言，27穿越盒子，28结拜成员完成副本，29结拜人数大于X人，X为LogicId0，30装备战意大于X%，X为LogicId0；31=挖宝；32=生活技能获取材料；33=帮派环；34=疯狂的石头；35=家园N次生产；36=家园N次收获；37=家园N次打造家具；38=家园N次收菜；39=家园N次访问其他家园；40=家园打造N次气数装备；41=家园进行N次算卦；42=家园进行N次祈福；43=家园进行N次捐献;44=家园解锁指点区域;45=威望战功任务;46=通过副本;47=完成日常任务类型;48=书籍任务）</t>
  </si>
  <si>
    <t>任务逻辑的数据ID0</t>
  </si>
  <si>
    <t>任务逻辑的数据ID1</t>
  </si>
  <si>
    <t>任务逻辑的数据ID2</t>
  </si>
  <si>
    <t>任务脚本ID(不用脚本为-1)</t>
  </si>
  <si>
    <t>【默认】下一个任务ID0（-1表示没有后续）</t>
  </si>
  <si>
    <t>【默认】下一个任务ID1（-1表示没有后续）</t>
  </si>
  <si>
    <t>【职业】下一个任务ID0-妖兽（-1表示没有后续）</t>
  </si>
  <si>
    <t>【职业】下一个任务ID1-妖兽（-1表示没有后续）</t>
  </si>
  <si>
    <t>【职业】下一个任务ID0-妖精（-1表示没有后续）</t>
  </si>
  <si>
    <t>【职业】下一个任务ID1-妖精（-1表示没有后续）</t>
  </si>
  <si>
    <t>【职业】下一个任务ID0-羽芒（-1表示没有后续）</t>
  </si>
  <si>
    <t>【职业】下一个任务ID1-羽芒（-1表示没有后续）</t>
  </si>
  <si>
    <t>【职业】下一个任务ID0-羽灵（-1表示没有后续）</t>
  </si>
  <si>
    <t>【职业】下一个任务ID1-羽灵（-1表示没有后续）</t>
  </si>
  <si>
    <t>【职业】下一个任务ID0-武侠（-1表示没有后续）</t>
  </si>
  <si>
    <t>【职业】下一个任务ID1-武侠（-1表示没有后续）</t>
  </si>
  <si>
    <t>【职业】下一个任务ID0-法师（-1表示没有后续）</t>
  </si>
  <si>
    <t>【职业】下一个任务ID1-法师（-1表示没有后续）</t>
  </si>
  <si>
    <t>【职业】下一个任务ID0-妖刃（-1表示没有后续）</t>
  </si>
  <si>
    <t>【职业】下一个任务ID1-妖刃（-1表示没有后续）</t>
  </si>
  <si>
    <t>【职业】下一个任务ID0-羽岚（-1表示没有后续）</t>
  </si>
  <si>
    <t>【职业】下一个任务ID1-羽岚（-1表示没有后续）</t>
  </si>
  <si>
    <t>【职业】下一个任务ID0-刀刹（-1表示没有后续）</t>
  </si>
  <si>
    <t>【职业】下一个任务ID1-刀刹（-1表示没有后续）</t>
  </si>
  <si>
    <t>章节ID，对应MisChapter.txt中章节ID，-1表示不属于章节</t>
  </si>
  <si>
    <t>是否是客户端任务</t>
  </si>
  <si>
    <t>是否能求助</t>
  </si>
  <si>
    <t>是否为好友协力任务</t>
  </si>
  <si>
    <t>触发自动接取任务方式（1表示在任务完成时， 满足条件时触发任务自动接取，  2表示升级时满足条件触发自动接取，3表示1和2的条件相加（“或”关系） 4表示凌晨四点检查开服天数满足条件触发自动接取，可以累计加）</t>
  </si>
  <si>
    <t>自动接取时， 发送玩家邮件名字</t>
  </si>
  <si>
    <t>自动接取时， 发送玩家邮件内容</t>
  </si>
  <si>
    <t>自动提交</t>
  </si>
  <si>
    <t>真实任务ID</t>
  </si>
  <si>
    <t>活动参与统计ID，用于记录日志，方便将来运营统计（2000=曲别针，2001=帮派跑环，2002=抓鬼，2003=挖宝，2004=声望环）</t>
  </si>
  <si>
    <t>引导任务存储ID（对应存储的枚举，具体数值找程序要；注意：七日任务完成目标对应31~37,38完成成就领取奖励，必须配成脚本任务）</t>
  </si>
  <si>
    <t>任务未接取状态是否需要移动</t>
  </si>
  <si>
    <t>任务已接取未提交状态是否需要移动</t>
  </si>
  <si>
    <t>任务已完成未提交状态是否需要移动</t>
  </si>
  <si>
    <t>任务等待进入副本状态是否需要移动</t>
  </si>
  <si>
    <t>接任务增加的buff,放弃/提交任务删除</t>
  </si>
  <si>
    <t>半自动任务是否跳过这个</t>
  </si>
  <si>
    <t>GroupID</t>
  </si>
  <si>
    <t>CameraType</t>
  </si>
  <si>
    <t>SpeakerType</t>
  </si>
  <si>
    <t>SpeakerID</t>
  </si>
  <si>
    <t>Content</t>
  </si>
  <si>
    <t>IsKeyStep</t>
  </si>
  <si>
    <t>LifeTime</t>
  </si>
  <si>
    <t>IsCanSkip</t>
  </si>
  <si>
    <t>EffectID</t>
  </si>
  <si>
    <t>AnimID</t>
  </si>
  <si>
    <t>#id唯一标示</t>
  </si>
  <si>
    <t>策划维护，程序不读</t>
  </si>
  <si>
    <t>组Id</t>
  </si>
  <si>
    <t>0代表镜头不动，1特写镜头，2镜头下移，</t>
  </si>
  <si>
    <t>说话者类型（0代表NPC，1代表玩家自身）</t>
  </si>
  <si>
    <t>说话者ID（-1为玩家）</t>
  </si>
  <si>
    <t>剧情内容</t>
  </si>
  <si>
    <t>是否触发接受、提交任务</t>
  </si>
  <si>
    <t>文字显示完成后翻页时间（暂定时间为：向上取整（字数/3）+1</t>
  </si>
  <si>
    <t>是否可跳过</t>
  </si>
  <si>
    <t>声音id</t>
  </si>
  <si>
    <t>特效id</t>
  </si>
  <si>
    <t>动作id</t>
  </si>
  <si>
    <t>Name</t>
  </si>
  <si>
    <t>AceptDesc</t>
  </si>
  <si>
    <t>AceptSoundID</t>
  </si>
  <si>
    <t>ComitDesc</t>
  </si>
  <si>
    <t>ComitSoundID</t>
  </si>
  <si>
    <t>OptDesc</t>
  </si>
  <si>
    <t>OptSoundID</t>
  </si>
  <si>
    <t>MainUIDec</t>
  </si>
  <si>
    <t>TraceText0</t>
  </si>
  <si>
    <t>ProgressText0</t>
  </si>
  <si>
    <t>TraceText1</t>
  </si>
  <si>
    <t>ProgressText1</t>
  </si>
  <si>
    <t>TraceText2</t>
  </si>
  <si>
    <t>ProgressText2</t>
  </si>
  <si>
    <t>AceptNpcSceneID</t>
  </si>
  <si>
    <t>AceptNpcDataID</t>
  </si>
  <si>
    <t>AceptPosX</t>
  </si>
  <si>
    <t>AceptPosY</t>
  </si>
  <si>
    <t>AceptPosZ</t>
  </si>
  <si>
    <t>AceptIsFly</t>
  </si>
  <si>
    <t>ComitNpcSceneID</t>
  </si>
  <si>
    <t>ComitNpcDataID</t>
  </si>
  <si>
    <t>ComitPosX</t>
  </si>
  <si>
    <t>ComitPosY</t>
  </si>
  <si>
    <t>ComitPosZ</t>
  </si>
  <si>
    <t>ComitIsFly</t>
  </si>
  <si>
    <t>TarNpcSceneID0</t>
  </si>
  <si>
    <t>TarNpcDataID0</t>
  </si>
  <si>
    <t>TarPosX0</t>
  </si>
  <si>
    <t>TarPosY0</t>
  </si>
  <si>
    <t>TarPosZ0</t>
  </si>
  <si>
    <t>TarPosIsFly0</t>
  </si>
  <si>
    <t>TarNpcSceneID1</t>
  </si>
  <si>
    <t>TarNpcDataID1</t>
  </si>
  <si>
    <t>TarPosX1</t>
  </si>
  <si>
    <t>TarPosY1</t>
  </si>
  <si>
    <t>TarPosZ1</t>
  </si>
  <si>
    <t>TarPosIsFly1</t>
  </si>
  <si>
    <t>TarNpcSceneID2</t>
  </si>
  <si>
    <t>TarNpcDataID2</t>
  </si>
  <si>
    <t>TarPosX2</t>
  </si>
  <si>
    <t>TarPosY2</t>
  </si>
  <si>
    <t>TarPosZ2</t>
  </si>
  <si>
    <t>TarPosIsFly2</t>
  </si>
  <si>
    <t>UsableItemID</t>
  </si>
  <si>
    <t>IsAutoSearch</t>
  </si>
  <si>
    <t>AutoBattleAfterSearch</t>
  </si>
  <si>
    <t>UnhideNpcDataID</t>
  </si>
  <si>
    <t>SkipAcceptUI</t>
  </si>
  <si>
    <t>SkipComitUI</t>
  </si>
  <si>
    <t>InUnAceptList</t>
  </si>
  <si>
    <t>SearchMove</t>
  </si>
  <si>
    <t>IsAutoPickUp</t>
  </si>
  <si>
    <t>PrepareAutoPickupTime</t>
  </si>
  <si>
    <t>OrderWeight</t>
  </si>
  <si>
    <t>TipsId</t>
  </si>
  <si>
    <t>ShowPermanentEffect</t>
  </si>
  <si>
    <t>SuitCombat</t>
  </si>
  <si>
    <t>#MAX_ID=102400;MAX_RECORD=10241;TableType=Hash;</t>
  </si>
  <si>
    <t>任务名称$22$</t>
  </si>
  <si>
    <t>【默认】任务接取描述$1$（任务ID + "1")</t>
  </si>
  <si>
    <t>接受任务界面语音</t>
  </si>
  <si>
    <t>【默认】任务交付描述$1$（任务ID + "2")</t>
  </si>
  <si>
    <t>完成任务界面语音</t>
  </si>
  <si>
    <t>【默认】操作描述$1$（任务ID + "3")</t>
  </si>
  <si>
    <t>操作界面语音</t>
  </si>
  <si>
    <t>任务主界面描述</t>
  </si>
  <si>
    <t>任务过程跟踪0$22$</t>
  </si>
  <si>
    <t>进度0</t>
  </si>
  <si>
    <t>任务过程跟踪1$22$</t>
  </si>
  <si>
    <t>进度1</t>
  </si>
  <si>
    <t>任务过程跟踪2$22$</t>
  </si>
  <si>
    <t>进度2</t>
  </si>
  <si>
    <t>接受任务0NPC场景</t>
  </si>
  <si>
    <t>接受任务0NpcDataID</t>
  </si>
  <si>
    <t>是否空中</t>
  </si>
  <si>
    <t>交付任务0NPC场景</t>
  </si>
  <si>
    <t>交付任务0NpcDataID</t>
  </si>
  <si>
    <t>任务目标0NPC场景</t>
  </si>
  <si>
    <t>任务目标0NpcDataID</t>
  </si>
  <si>
    <t>任务目标位置X0</t>
  </si>
  <si>
    <t>任务目标位置高度0</t>
  </si>
  <si>
    <t>任务目标位置Z0</t>
  </si>
  <si>
    <t>任务目标1NPC场景</t>
  </si>
  <si>
    <t>任务目标1NpcDataID</t>
  </si>
  <si>
    <t>任务目标位置X1</t>
  </si>
  <si>
    <t>任务目标位置高度1</t>
  </si>
  <si>
    <t>任务目标位置Z1</t>
  </si>
  <si>
    <t>任务目标2NPC场景</t>
  </si>
  <si>
    <t>任务目标2NpcDataID</t>
  </si>
  <si>
    <t>任务目标位置X2</t>
  </si>
  <si>
    <t>任务目标位置Z2</t>
  </si>
  <si>
    <t>任务目标位置高度2</t>
  </si>
  <si>
    <t>任务使用物品处理</t>
  </si>
  <si>
    <t>任务完成自动寻路</t>
  </si>
  <si>
    <t>自动寻路后开启自动战斗（只影响杀怪、杀怪寻物和副本任务，且只有任务目标是敌对NPC才有效）</t>
  </si>
  <si>
    <t>可见NPC ID</t>
  </si>
  <si>
    <t>跳过接受界面</t>
  </si>
  <si>
    <t>跳过完成界面</t>
  </si>
  <si>
    <t>在未接列表中显示</t>
  </si>
  <si>
    <t>在移动中寻找</t>
  </si>
  <si>
    <t>是否触发自动采集</t>
  </si>
  <si>
    <t>准备自动采集时间</t>
  </si>
  <si>
    <t>排序权重(主线1，修真100，引导200，传奇300，隐藏350，新手奇遇400，稀有神谕405，普通神谕410，宝图任务500，赏善罚恶510，帮会任务520，支线任务1000</t>
  </si>
  <si>
    <t>提示Id</t>
  </si>
  <si>
    <t>是否显示常驻特效，注意特效是标准大小，无法缩放</t>
  </si>
  <si>
    <t>推荐修为</t>
  </si>
  <si>
    <t>GoldIssueRandomId</t>
  </si>
  <si>
    <t>Money</t>
  </si>
  <si>
    <t>BindYuanBao</t>
  </si>
  <si>
    <t>Exp</t>
  </si>
  <si>
    <t>SkillSoul</t>
  </si>
  <si>
    <t>TitleID</t>
  </si>
  <si>
    <t>ToolID1</t>
  </si>
  <si>
    <t>ToolNum1</t>
  </si>
  <si>
    <t>ToolID2</t>
  </si>
  <si>
    <t>ToolNum2</t>
  </si>
  <si>
    <t>ProItemID1</t>
  </si>
  <si>
    <t>ProNum1</t>
  </si>
  <si>
    <t>ProItemID2</t>
  </si>
  <si>
    <t>ProNum2</t>
  </si>
  <si>
    <t>ProItemID3</t>
  </si>
  <si>
    <t>ProNum3</t>
  </si>
  <si>
    <t>ProItemID4</t>
  </si>
  <si>
    <t>ProNum4</t>
  </si>
  <si>
    <t>ProItemID5</t>
  </si>
  <si>
    <t>ProNum5</t>
  </si>
  <si>
    <t>ProItemID6</t>
  </si>
  <si>
    <t>ProNum6</t>
  </si>
  <si>
    <t>ProItemID7</t>
  </si>
  <si>
    <t>ProNum7</t>
  </si>
  <si>
    <t>ProItemID8</t>
  </si>
  <si>
    <t>ProNum8</t>
  </si>
  <si>
    <t>ProItemID9</t>
  </si>
  <si>
    <t>ProNum9</t>
  </si>
  <si>
    <t>ProItemID10</t>
  </si>
  <si>
    <t>ProNum10</t>
  </si>
  <si>
    <t>ProItemID11</t>
  </si>
  <si>
    <t>ProNum11</t>
  </si>
  <si>
    <t>ProItemID12</t>
  </si>
  <si>
    <t>ProNum12</t>
  </si>
  <si>
    <t>ProItemID13</t>
  </si>
  <si>
    <t>ProNum13</t>
  </si>
  <si>
    <t>ProItemID14</t>
  </si>
  <si>
    <t>ProNum14</t>
  </si>
  <si>
    <t>ProItemID15</t>
  </si>
  <si>
    <t>ProNum15</t>
  </si>
  <si>
    <t>ProItemID16</t>
  </si>
  <si>
    <t>ProNum16</t>
  </si>
  <si>
    <t>ChoosedID</t>
  </si>
  <si>
    <t>ItemID0</t>
  </si>
  <si>
    <t>ItemNum0</t>
  </si>
  <si>
    <t>ItemID1</t>
  </si>
  <si>
    <t>ItemNum1</t>
  </si>
  <si>
    <t>ItemID2</t>
  </si>
  <si>
    <t>ItemNum2</t>
  </si>
  <si>
    <t>#MAX_ID=10240;MAX_RECORD=10241;TableType=Hash;</t>
  </si>
  <si>
    <t>策划维护列</t>
  </si>
  <si>
    <t>金币放出随机ID（索引到GoldIssueRandom.txt中的ID）</t>
  </si>
  <si>
    <t>银币</t>
  </si>
  <si>
    <t>绑定元宝</t>
  </si>
  <si>
    <t>经验</t>
  </si>
  <si>
    <t>元神</t>
  </si>
  <si>
    <t>称号ID</t>
  </si>
  <si>
    <t>道具1ID</t>
  </si>
  <si>
    <t>道具1数量</t>
  </si>
  <si>
    <t>道具2ID</t>
  </si>
  <si>
    <t>道具2数量</t>
  </si>
  <si>
    <t>妖兽物品ID</t>
  </si>
  <si>
    <t>妖兽物品数量</t>
  </si>
  <si>
    <t>妖精物品ID</t>
  </si>
  <si>
    <t>妖精物品数量</t>
  </si>
  <si>
    <t>羽芒物品ID</t>
  </si>
  <si>
    <t>羽芒物品数量</t>
  </si>
  <si>
    <t>羽灵物品ID</t>
  </si>
  <si>
    <t>羽灵物品数量</t>
  </si>
  <si>
    <t>武侠物品ID</t>
  </si>
  <si>
    <t>武侠物品数量</t>
  </si>
  <si>
    <t>法师物品ID</t>
  </si>
  <si>
    <t>法师物品数量</t>
  </si>
  <si>
    <t>妖刃物品ID</t>
  </si>
  <si>
    <t>妖刃物品数量</t>
  </si>
  <si>
    <t>魂契物品ID</t>
  </si>
  <si>
    <t>魂契物品数量</t>
  </si>
  <si>
    <t>羽岚物品ID</t>
  </si>
  <si>
    <t>羽岚物品数量</t>
  </si>
  <si>
    <t>剑灵物品ID</t>
  </si>
  <si>
    <t>剑灵物品数量</t>
  </si>
  <si>
    <t>月仙物品ID</t>
  </si>
  <si>
    <t>月仙物品数量</t>
  </si>
  <si>
    <t>预留物品ID</t>
  </si>
  <si>
    <t>预留物品数量</t>
  </si>
  <si>
    <t>刀刹物品ID</t>
  </si>
  <si>
    <t>刀刹物品数量</t>
  </si>
  <si>
    <t>多选一物品数量</t>
  </si>
  <si>
    <t>物品0 ID</t>
  </si>
  <si>
    <t>物品0 数量</t>
  </si>
  <si>
    <t>物品1 ID</t>
  </si>
  <si>
    <t>物品1 数量</t>
  </si>
  <si>
    <t>物品2 ID</t>
  </si>
  <si>
    <t>物品2 数量</t>
  </si>
  <si>
    <t>LowLevel</t>
  </si>
  <si>
    <t>HighLevel</t>
  </si>
  <si>
    <t>ServerStartTime</t>
  </si>
  <si>
    <t>StartTime</t>
  </si>
  <si>
    <t>EndTime</t>
  </si>
  <si>
    <t>Camp</t>
  </si>
  <si>
    <t>PreMisIDOr0</t>
  </si>
  <si>
    <t>PreMisIDOr1</t>
  </si>
  <si>
    <t>PreMisIDOr2</t>
  </si>
  <si>
    <t>PreMisIDOr3</t>
  </si>
  <si>
    <t>PreMisIDOr4</t>
  </si>
  <si>
    <t>PreMisIDOr5</t>
  </si>
  <si>
    <t>PreMisIDOr6</t>
  </si>
  <si>
    <t>PreMisIDOr7</t>
  </si>
  <si>
    <t>PreMisIDOr8</t>
  </si>
  <si>
    <t>PreMisIDOr9</t>
  </si>
  <si>
    <t>PreMisIDAnd0</t>
  </si>
  <si>
    <t>PreMisIDAnd1</t>
  </si>
  <si>
    <t>PreMisIDAnd2</t>
  </si>
  <si>
    <t>PreMisIDAnd3</t>
  </si>
  <si>
    <t>PreMisIDAnd4</t>
  </si>
  <si>
    <t>PreMisIDAnd5</t>
  </si>
  <si>
    <t>PreMisIDAnd6</t>
  </si>
  <si>
    <t>PreMisIDAnd7</t>
  </si>
  <si>
    <t>PreMisIDAnd8</t>
  </si>
  <si>
    <t>PreMisIDAnd9</t>
  </si>
  <si>
    <t>RechargeCase</t>
  </si>
  <si>
    <t>PreMisIDNot0</t>
  </si>
  <si>
    <t>PreMisIDNot1</t>
  </si>
  <si>
    <t>PreMisIDNot2</t>
  </si>
  <si>
    <t>PreMisIDNot3</t>
  </si>
  <si>
    <t>PreMisIDNot4</t>
  </si>
  <si>
    <t>PreMisIDNot5</t>
  </si>
  <si>
    <t>PreMisIDNot6</t>
  </si>
  <si>
    <t>PreMisIDNot7</t>
  </si>
  <si>
    <t>PreMisIDNot8</t>
  </si>
  <si>
    <t>PreMisIDNot9</t>
  </si>
  <si>
    <t>ProfessionID</t>
  </si>
  <si>
    <t>RaceID</t>
  </si>
  <si>
    <t>IsLoop</t>
  </si>
  <si>
    <t>MisOpenTime</t>
  </si>
  <si>
    <t>MisCloseTime</t>
  </si>
  <si>
    <t>MisLimitType</t>
  </si>
  <si>
    <t>MaxLimit</t>
  </si>
  <si>
    <t>INT64</t>
  </si>
  <si>
    <t>限制描述(策划填写作为维护的标志，程序不关心这一列)</t>
  </si>
  <si>
    <t>等级（最小值）</t>
  </si>
  <si>
    <t>等级（最大值）</t>
  </si>
  <si>
    <t>开服天数（默认-1）,1表示第一天</t>
  </si>
  <si>
    <t>任务接取时间（填写后，任务只能到达这个时间后接取）</t>
  </si>
  <si>
    <t>任务结束时间（填写后，到达这个时间后任务自动删除）</t>
  </si>
  <si>
    <t>阵营（0表示升仙， 1表示入魔， -1表示没阵营限制）</t>
  </si>
  <si>
    <t>【“或”逻辑】前续任务ID（-1表示没有前序）</t>
  </si>
  <si>
    <t>【“与”逻辑】前续任务ID（-1表示没有前序）</t>
  </si>
  <si>
    <t>充值金额（-1表示没有充值需求）</t>
  </si>
  <si>
    <t>【“非”逻辑】前续任务ID（-1表示没有前序）</t>
  </si>
  <si>
    <t>职业限制(-1:无限制，按职业来；0：妖兽；1：妖精；2：羽芒；3：羽灵；4：武侠；5：法师；6：妖刃；8：羽岚)</t>
  </si>
  <si>
    <t>种族限制(-1: 无限制；0：人族；1：羽族；2：妖族；)</t>
  </si>
  <si>
    <t>是否能重复完成</t>
  </si>
  <si>
    <t>每日开启时间</t>
  </si>
  <si>
    <t>每日结束时间</t>
  </si>
  <si>
    <t>任务是否限次</t>
  </si>
  <si>
    <t>任务次数上限</t>
  </si>
  <si>
    <t>Dialog</t>
  </si>
  <si>
    <t>Type</t>
  </si>
  <si>
    <t>OptContent</t>
  </si>
  <si>
    <t>OptionText1</t>
  </si>
  <si>
    <t>OptionText2</t>
  </si>
  <si>
    <t>OptionText3</t>
  </si>
  <si>
    <t>MisID1</t>
  </si>
  <si>
    <t>MisID2</t>
  </si>
  <si>
    <t>MisID3</t>
  </si>
  <si>
    <t>MisID4</t>
  </si>
  <si>
    <t>MisID5</t>
  </si>
  <si>
    <t>MisID6</t>
  </si>
  <si>
    <t>MisID7</t>
  </si>
  <si>
    <t>MisID8</t>
  </si>
  <si>
    <t>MisID9</t>
  </si>
  <si>
    <t>MisID10</t>
  </si>
  <si>
    <t>MisID11</t>
  </si>
  <si>
    <t>MisID12</t>
  </si>
  <si>
    <t>MisID13</t>
  </si>
  <si>
    <t>MisID14</t>
  </si>
  <si>
    <t>MisID15</t>
  </si>
  <si>
    <t>MisID16</t>
  </si>
  <si>
    <t>MisID17</t>
  </si>
  <si>
    <t>MisID18</t>
  </si>
  <si>
    <t>MisID19</t>
  </si>
  <si>
    <t>MisID20</t>
  </si>
  <si>
    <t>MisID21</t>
  </si>
  <si>
    <t>MisID22</t>
  </si>
  <si>
    <t>MisID23</t>
  </si>
  <si>
    <t>MisID24</t>
  </si>
  <si>
    <t>MisID25</t>
  </si>
  <si>
    <t>MisID26</t>
  </si>
  <si>
    <t>MisID27</t>
  </si>
  <si>
    <t>MisID28</t>
  </si>
  <si>
    <t>MisID29</t>
  </si>
  <si>
    <t>MisID30</t>
  </si>
  <si>
    <t>MisID31</t>
  </si>
  <si>
    <t>MisID32</t>
  </si>
  <si>
    <t>MisID33</t>
  </si>
  <si>
    <t>MisID34</t>
  </si>
  <si>
    <t>MisID35</t>
  </si>
  <si>
    <t>MisID36</t>
  </si>
  <si>
    <t>MisID37</t>
  </si>
  <si>
    <t>MisID38</t>
  </si>
  <si>
    <t>MisID39</t>
  </si>
  <si>
    <t>MisID40</t>
  </si>
  <si>
    <t>MisID41</t>
  </si>
  <si>
    <t>MisID42</t>
  </si>
  <si>
    <t>MisID43</t>
  </si>
  <si>
    <t>MisID44</t>
  </si>
  <si>
    <t>MisID45</t>
  </si>
  <si>
    <t>MisID46</t>
  </si>
  <si>
    <t>MisID47</t>
  </si>
  <si>
    <t>MisID48</t>
  </si>
  <si>
    <t>MisID49</t>
  </si>
  <si>
    <t>MisID50</t>
  </si>
  <si>
    <t>MisID51</t>
  </si>
  <si>
    <t>MisID52</t>
  </si>
  <si>
    <t>MisID53</t>
  </si>
  <si>
    <t>MisID54</t>
  </si>
  <si>
    <t>MisID55</t>
  </si>
  <si>
    <t>MisID56</t>
  </si>
  <si>
    <t>MisID57</t>
  </si>
  <si>
    <t>MisID58</t>
  </si>
  <si>
    <t>MisID59</t>
  </si>
  <si>
    <t>MisID60</t>
  </si>
  <si>
    <t>MisID61</t>
  </si>
  <si>
    <t>MisID62</t>
  </si>
  <si>
    <t>MisID63</t>
  </si>
  <si>
    <t>MisID64</t>
  </si>
  <si>
    <t>MisID65</t>
  </si>
  <si>
    <t>MisID66</t>
  </si>
  <si>
    <t>MisID67</t>
  </si>
  <si>
    <t>MisID68</t>
  </si>
  <si>
    <t>MisID69</t>
  </si>
  <si>
    <t>MisID70</t>
  </si>
  <si>
    <t>MisID71</t>
  </si>
  <si>
    <t>MisID72</t>
  </si>
  <si>
    <t>MisID73</t>
  </si>
  <si>
    <t>MisID74</t>
  </si>
  <si>
    <t>MisID75</t>
  </si>
  <si>
    <t>MisID76</t>
  </si>
  <si>
    <t>MisID77</t>
  </si>
  <si>
    <t>MisID78</t>
  </si>
  <si>
    <t>MisID79</t>
  </si>
  <si>
    <t>MisID80</t>
  </si>
  <si>
    <t>MisID81</t>
  </si>
  <si>
    <t>MisID82</t>
  </si>
  <si>
    <t>MisID83</t>
  </si>
  <si>
    <t>MisID84</t>
  </si>
  <si>
    <t>MisID85</t>
  </si>
  <si>
    <t>MisID86</t>
  </si>
  <si>
    <t>MisID87</t>
  </si>
  <si>
    <t>MisID88</t>
  </si>
  <si>
    <t>MisID89</t>
  </si>
  <si>
    <t>MisID90</t>
  </si>
  <si>
    <t>MisID91</t>
  </si>
  <si>
    <t>MisID92</t>
  </si>
  <si>
    <t>MisID93</t>
  </si>
  <si>
    <t>MisID94</t>
  </si>
  <si>
    <t>MisID95</t>
  </si>
  <si>
    <t>MisID96</t>
  </si>
  <si>
    <t>MisID97</t>
  </si>
  <si>
    <t>MisID98</t>
  </si>
  <si>
    <t>MisID99</t>
  </si>
  <si>
    <t>MisID100</t>
  </si>
  <si>
    <t>SHORT</t>
  </si>
  <si>
    <t>策划维护</t>
  </si>
  <si>
    <t>0代表镜头不动，1特写镜头</t>
  </si>
  <si>
    <t>Npc功能类型(0:功能类型;1:任务类型;2:自定义回调类型（不走对白选项直接返回自定义回调方法）)</t>
  </si>
  <si>
    <t>功能对白</t>
  </si>
  <si>
    <t>选项1</t>
  </si>
  <si>
    <t>选项2</t>
  </si>
  <si>
    <t>选项3</t>
  </si>
  <si>
    <t>任务1（对应MissionBase.txt中的ID）</t>
  </si>
  <si>
    <t>任务2</t>
  </si>
  <si>
    <t>任务3</t>
  </si>
  <si>
    <t>任务4</t>
  </si>
  <si>
    <t>任务5</t>
  </si>
  <si>
    <t>任务6</t>
  </si>
  <si>
    <t>任务7</t>
  </si>
  <si>
    <t>任务8</t>
  </si>
  <si>
    <t>任务9</t>
  </si>
  <si>
    <t>任务10</t>
  </si>
  <si>
    <t>任务11</t>
  </si>
  <si>
    <t>任务12</t>
  </si>
  <si>
    <t>任务13</t>
  </si>
  <si>
    <t>任务14</t>
  </si>
  <si>
    <t>任务15</t>
  </si>
  <si>
    <t>任务16</t>
  </si>
  <si>
    <t>任务17</t>
  </si>
  <si>
    <t>任务18</t>
  </si>
  <si>
    <t>任务19</t>
  </si>
  <si>
    <t>任务20</t>
  </si>
  <si>
    <t>任务21</t>
  </si>
  <si>
    <t>任务22</t>
  </si>
  <si>
    <t>任务23</t>
  </si>
  <si>
    <t>任务24</t>
  </si>
  <si>
    <t>任务25</t>
  </si>
  <si>
    <t>任务26</t>
  </si>
  <si>
    <t>任务27</t>
  </si>
  <si>
    <t>任务28</t>
  </si>
  <si>
    <t>任务29</t>
  </si>
  <si>
    <t>任务30</t>
  </si>
  <si>
    <t>任务31</t>
  </si>
  <si>
    <t>任务32</t>
  </si>
  <si>
    <t>任务33</t>
  </si>
  <si>
    <t>任务34</t>
  </si>
  <si>
    <t>任务35</t>
  </si>
  <si>
    <t>任务36</t>
  </si>
  <si>
    <t>任务37</t>
  </si>
  <si>
    <t>任务38</t>
  </si>
  <si>
    <t>任务39</t>
  </si>
  <si>
    <t>任务40</t>
  </si>
  <si>
    <t>任务41</t>
  </si>
  <si>
    <t>任务42</t>
  </si>
  <si>
    <t>任务43</t>
  </si>
  <si>
    <t>任务44</t>
  </si>
  <si>
    <t>任务45</t>
  </si>
  <si>
    <t>任务46</t>
  </si>
  <si>
    <t>任务47</t>
  </si>
  <si>
    <t>任务48</t>
  </si>
  <si>
    <t>任务49</t>
  </si>
  <si>
    <t>任务50</t>
  </si>
  <si>
    <t>任务51</t>
  </si>
  <si>
    <t>任务52</t>
  </si>
  <si>
    <t>任务53</t>
  </si>
  <si>
    <t>任务54</t>
  </si>
  <si>
    <t>任务55</t>
  </si>
  <si>
    <t>任务56</t>
  </si>
  <si>
    <t>任务57</t>
  </si>
  <si>
    <t>任务58</t>
  </si>
  <si>
    <t>任务59</t>
  </si>
  <si>
    <t>任务60</t>
  </si>
  <si>
    <t>任务61</t>
  </si>
  <si>
    <t>任务62</t>
  </si>
  <si>
    <t>任务63</t>
  </si>
  <si>
    <t>任务64</t>
  </si>
  <si>
    <t>任务65</t>
  </si>
  <si>
    <t>任务66</t>
  </si>
  <si>
    <t>任务67</t>
  </si>
  <si>
    <t>任务68</t>
  </si>
  <si>
    <t>任务69</t>
  </si>
  <si>
    <t>任务70</t>
  </si>
  <si>
    <t>任务71</t>
  </si>
  <si>
    <t>任务72</t>
  </si>
  <si>
    <t>任务73</t>
  </si>
  <si>
    <t>任务74</t>
  </si>
  <si>
    <t>任务75</t>
  </si>
  <si>
    <t>任务76</t>
  </si>
  <si>
    <t>任务77</t>
  </si>
  <si>
    <t>任务78</t>
  </si>
  <si>
    <t>任务79</t>
  </si>
  <si>
    <t>任务80</t>
  </si>
  <si>
    <t>任务81</t>
  </si>
  <si>
    <t>任务82</t>
  </si>
  <si>
    <t>任务83</t>
  </si>
  <si>
    <t>任务84</t>
  </si>
  <si>
    <t>任务85</t>
  </si>
  <si>
    <t>任务86</t>
  </si>
  <si>
    <t>任务87</t>
  </si>
  <si>
    <t>任务88</t>
  </si>
  <si>
    <t>任务89</t>
  </si>
  <si>
    <t>任务90</t>
  </si>
  <si>
    <t>任务91</t>
  </si>
  <si>
    <t>任务92</t>
  </si>
  <si>
    <t>任务93</t>
  </si>
  <si>
    <t>任务94</t>
  </si>
  <si>
    <t>任务95</t>
  </si>
  <si>
    <t>任务96</t>
  </si>
  <si>
    <t>任务97</t>
  </si>
  <si>
    <t>任务98</t>
  </si>
  <si>
    <t>任务99</t>
  </si>
  <si>
    <t>任务100</t>
  </si>
  <si>
    <t>Description</t>
  </si>
  <si>
    <t>Title</t>
  </si>
  <si>
    <t>NpcType</t>
  </si>
  <si>
    <t>Level</t>
  </si>
  <si>
    <t>AttackDisType</t>
  </si>
  <si>
    <t>SkillstrategyIndex</t>
  </si>
  <si>
    <t>CombatAttrIndex</t>
  </si>
  <si>
    <t>AttackIntervalTime</t>
  </si>
  <si>
    <t>IsAroundTrace</t>
  </si>
  <si>
    <t>ForceId</t>
  </si>
  <si>
    <t>PathRadius</t>
  </si>
  <si>
    <t>AlertRadius</t>
  </si>
  <si>
    <t>AlertEffect</t>
  </si>
  <si>
    <t>IsRanbdMove</t>
  </si>
  <si>
    <t>RandMoveDis</t>
  </si>
  <si>
    <t>CorpseTime</t>
  </si>
  <si>
    <t>ReviveTime</t>
  </si>
  <si>
    <t>ReviveRate</t>
  </si>
  <si>
    <t>ReviveTimeBegin_01</t>
  </si>
  <si>
    <t>ReviveTimeEnd_01</t>
  </si>
  <si>
    <t>ReviveTimeBegin_02</t>
  </si>
  <si>
    <t>ReviveTimeEnd_02</t>
  </si>
  <si>
    <t>DialogID</t>
  </si>
  <si>
    <t>DialogRadius</t>
  </si>
  <si>
    <t>DialogStop</t>
  </si>
  <si>
    <t>DropItemNormalId</t>
  </si>
  <si>
    <t>DropItemCopyId</t>
  </si>
  <si>
    <t>IsAttackFly</t>
  </si>
  <si>
    <t>AttackFlyDistance</t>
  </si>
  <si>
    <t>BelongType</t>
  </si>
  <si>
    <t>BelongHPPercent</t>
  </si>
  <si>
    <t>IsImmuneJT</t>
  </si>
  <si>
    <t>CombatNPC</t>
  </si>
  <si>
    <t>MissionNpcFlag</t>
  </si>
  <si>
    <t>DyanmicExp</t>
  </si>
  <si>
    <t>ForcePrestigeID</t>
  </si>
  <si>
    <t>ForcePrestigeDrop</t>
  </si>
  <si>
    <t>Exploit</t>
  </si>
  <si>
    <t>EnhanceID1</t>
  </si>
  <si>
    <t>EnhanceID2</t>
  </si>
  <si>
    <t>EnhanceID3</t>
  </si>
  <si>
    <t>EnhanceID4</t>
  </si>
  <si>
    <t>EnhanceID5</t>
  </si>
  <si>
    <t>EnhanceID6</t>
  </si>
  <si>
    <t>SilverCoinMin</t>
  </si>
  <si>
    <t>SilverCoinMax</t>
  </si>
  <si>
    <t>DynamincSilverCoin</t>
  </si>
  <si>
    <t>GoldCoinRate</t>
  </si>
  <si>
    <t>GoldCoinDrop</t>
  </si>
  <si>
    <t>GoldCoinFactor</t>
  </si>
  <si>
    <t>SilverCoinHeapMin</t>
  </si>
  <si>
    <t>SilverCoinHeapMax</t>
  </si>
  <si>
    <t>NpcPaoPaoId</t>
  </si>
  <si>
    <t>NpcPaoPaoShowType</t>
  </si>
  <si>
    <t>IsCanBeClientSel</t>
  </si>
  <si>
    <t>IsNoALevelReduc</t>
  </si>
  <si>
    <t>IsNoPernoctation</t>
  </si>
  <si>
    <t>IsDisableFaceto</t>
  </si>
  <si>
    <t>IsCanCatch</t>
  </si>
  <si>
    <t>CatchFellowId</t>
  </si>
  <si>
    <t>HuntCollectId</t>
  </si>
  <si>
    <t>IsCleanLeaveCombat</t>
  </si>
  <si>
    <t>BornAnimId</t>
  </si>
  <si>
    <t>BornAnimTime</t>
  </si>
  <si>
    <t>RelibeAnimId</t>
  </si>
  <si>
    <t>ImpactId_01</t>
  </si>
  <si>
    <t>ImpactId_02</t>
  </si>
  <si>
    <t>BuffID_01</t>
  </si>
  <si>
    <t>BuffID_02</t>
  </si>
  <si>
    <t>BuffID_03</t>
  </si>
  <si>
    <t>BuffID_04</t>
  </si>
  <si>
    <t>BuffID_05</t>
  </si>
  <si>
    <t>IsLogDropInfo</t>
  </si>
  <si>
    <t>RemoveThreadUnitTime</t>
  </si>
  <si>
    <t>IsRemoveThreadUnitWhenDie</t>
  </si>
  <si>
    <t>DropResetCountId</t>
  </si>
  <si>
    <t>DropCalCount</t>
  </si>
  <si>
    <t>ItemDropType</t>
  </si>
  <si>
    <t>ItemDropRadius</t>
  </si>
  <si>
    <t>ItemDropHeight</t>
  </si>
  <si>
    <t>ShowNameBordType</t>
  </si>
  <si>
    <t>IsLeaveComBatBackHome</t>
  </si>
  <si>
    <t>IsDisappearAfterPick</t>
  </si>
  <si>
    <t>DefaultSkillQueue</t>
  </si>
  <si>
    <t>PartrolSpeed</t>
  </si>
  <si>
    <t>IsDissolution</t>
  </si>
  <si>
    <t>DissolutionBronTime</t>
  </si>
  <si>
    <t>DissolutionColor</t>
  </si>
  <si>
    <t>DissolutionEffectID</t>
  </si>
  <si>
    <t>ActivenessID</t>
  </si>
  <si>
    <t>DropTeamAdd</t>
  </si>
  <si>
    <t>BackHomeResetFaceDir</t>
  </si>
  <si>
    <t>LeaveCombatSelectThreatTargetRaidus</t>
  </si>
  <si>
    <t>HitEffctScaleRate</t>
  </si>
  <si>
    <t>DropQingYi</t>
  </si>
  <si>
    <t>NpcFunctionalMark</t>
  </si>
  <si>
    <t>CanPlayCameraRock</t>
  </si>
  <si>
    <t>RecoverTime</t>
  </si>
  <si>
    <t>IsMustShowHp</t>
  </si>
  <si>
    <t>LODDistance</t>
  </si>
  <si>
    <t>PetID</t>
  </si>
  <si>
    <t>DropMentorTeachingId</t>
  </si>
  <si>
    <t>IsRecordDropLog</t>
  </si>
  <si>
    <t>IsHideHeadHpBar</t>
  </si>
  <si>
    <t>DamageSecondMax</t>
  </si>
  <si>
    <t>CompressHp</t>
  </si>
  <si>
    <t>EliteHitAnimChance</t>
  </si>
  <si>
    <t>#MAX_ID=60000;MAX_RECORD=60000;TableType=Hash;</t>
  </si>
  <si>
    <t>#角色ID(与RoleBaseAttr.txt一致)</t>
  </si>
  <si>
    <t>描述（程序不读）</t>
  </si>
  <si>
    <t>名称</t>
  </si>
  <si>
    <t>称号</t>
  </si>
  <si>
    <t>类别（0普通:优先播受击动作 1精英：优先播攻击动作 2 BOSS：优先播攻击动作 3.原0号类别，攻击和受击互相打断 4.场景机关，不可选中，只接收属性修改impact  666666.场景动态配置物体，特殊处理光影）</t>
  </si>
  <si>
    <t>近战或远程（0近战 1远程）</t>
  </si>
  <si>
    <t>技能选择策略</t>
  </si>
  <si>
    <t>战斗属性索引（对应NpcAttrInitial表格）</t>
  </si>
  <si>
    <t>攻击间隔时间（毫秒）(从上一个技能开始释放开始计时，到时间后进行下一个技能。在有时间轴时，此时间为普攻的间隔时间)</t>
  </si>
  <si>
    <t>是否围圈追踪</t>
  </si>
  <si>
    <t>势力 （0玩家1友好-对所有势力友好2中立3敌对5帮战蓝6帮战红7助战NPC更多势力看Relation表）</t>
  </si>
  <si>
    <t>脱战范围（若给NPC挂了巡逻路径，则此值不能为0，默认填500）</t>
  </si>
  <si>
    <t>警戒范围</t>
  </si>
  <si>
    <t>目标进入警戒范围播放特效ID</t>
  </si>
  <si>
    <t>是否随机游荡</t>
  </si>
  <si>
    <t>随机游荡范围</t>
  </si>
  <si>
    <t>尸体时间（单位：毫秒）</t>
  </si>
  <si>
    <t>复活时间（尸体消散后开始计时 单位：毫秒）</t>
  </si>
  <si>
    <t>复活概率（支持三位小数，1表示一定复活，复活失败会重置复活时间，等待下次复活）</t>
  </si>
  <si>
    <t>复活时间限制开始时间1（0930表示09点30分之后才会复活 -1表示不限制）</t>
  </si>
  <si>
    <t>复活时间限制结束时间1（2230表示22点30分之前才会复活 -1表示不限制）</t>
  </si>
  <si>
    <t>复活时间限制开始时间2（0930表示09点30分之后才会复活 -1表示不限制）</t>
  </si>
  <si>
    <t>复活时间限制结束时间2（2230表示22点30分之前才会复活 -1表示不限制）</t>
  </si>
  <si>
    <t>Npc对话ID</t>
  </si>
  <si>
    <t>Npc对话半径</t>
  </si>
  <si>
    <t>对话时给NPC上定身buff（1为是，-1为否）</t>
  </si>
  <si>
    <t>非自适应掉落id，索引DropListID，如果是自适应的话，该列配成-1</t>
  </si>
  <si>
    <t>自适应掉落索引Id，配置成CopySceneDropID，非自适应配成-1即可(场景开启动态则走此列)</t>
  </si>
  <si>
    <t>是否死亡必击飞</t>
  </si>
  <si>
    <t>死亡击飞距离</t>
  </si>
  <si>
    <t>归属类型(NPC死亡后奖励的归属规则类型1:最后一击(队伍或个人)，2:最后一击（队伍或个人或团队），3:队伍或个人输出血量最多，4：团队或队伍或个人输出血量最多，5:组队或个人先打的血量达到%10(野外默认选项)，怪物死亡时若没有达到条件则无掉落。6：团队或组队或个人先达到最小伤血百分比，7：所有对怪物造成伤害的团队或队伍或个人（用户单线内的野外boss），8：归属书用物品创建者及队伍；9：创建时归属创建队伍队伍ID死亡结算不能判定为归属创建队伍队伍ID如果killer是个人归属killer如果killer有队伍归属killer所在队伍如果killer有团队归属killer所在小队，10：归属于击杀者玩家个人</t>
  </si>
  <si>
    <t>归属血量百分比</t>
  </si>
  <si>
    <t>是否免疫击退</t>
  </si>
  <si>
    <t>是否为战斗NPC（0-不是，1-是）</t>
  </si>
  <si>
    <t>任务相关NPC标记（做仇恨计数用）</t>
  </si>
  <si>
    <t>怪物经验(NPC有属性自适应ID的话，走RoleBaseAttrEnhance表)</t>
  </si>
  <si>
    <t>怪物动态等级掉落经验(场景开启动态则走此列*levelup表中玩家对应等级系数)</t>
  </si>
  <si>
    <t>势力ID</t>
  </si>
  <si>
    <t>声望掉落值</t>
  </si>
  <si>
    <t>战功值掉落</t>
  </si>
  <si>
    <t>属性自适应ID（等级1-30）(已废弃)</t>
  </si>
  <si>
    <t>属性自适应ID（等级31-60）(已废弃)</t>
  </si>
  <si>
    <t>属性自适应ID（等级61-100）(已废弃)</t>
  </si>
  <si>
    <t>属性自适应ID（等级101-150）(已废弃)</t>
  </si>
  <si>
    <t>属性自适应ID（等级151-200）(已废弃)</t>
  </si>
  <si>
    <t>属性自适应ID（等级201-251）(已废弃)</t>
  </si>
  <si>
    <t>银币掉落浮动下限</t>
  </si>
  <si>
    <t>银币掉落浮动上限</t>
  </si>
  <si>
    <t>动态等级银币掉落银币(场景开启动态则走此列*levelup表中玩家对应等级系数)</t>
  </si>
  <si>
    <t>金币掉落率</t>
  </si>
  <si>
    <t>金币掉落怪物部分</t>
  </si>
  <si>
    <t>金币计算角色等级的系数</t>
  </si>
  <si>
    <t>银币掉落的最小堆数</t>
  </si>
  <si>
    <t>银币掉落的最大堆数</t>
  </si>
  <si>
    <t>对应NPC泡泡表ID</t>
  </si>
  <si>
    <t>泡泡显示方式(大于0表示间隔时间（秒），如果=0且泡泡ID&gt;0表示点击显示)</t>
  </si>
  <si>
    <t>是否可以被客户端点选</t>
  </si>
  <si>
    <t>掉落是否没有等级衰减开关，配0表示都有等级衰减，配1表示只有经验没有等级衰减，配2表示只有物品没有等级衰减，配4表示只有银币没有等级衰减，其他组合不衰减的情况类推，7表示都没有等级衰减</t>
  </si>
  <si>
    <t>是否彻夜不眠不衰减，配1时表示没有彻夜不眠的衰减</t>
  </si>
  <si>
    <t>是否禁止更改朝向</t>
  </si>
  <si>
    <t>是否可以捕获（1可以 0不可以）</t>
  </si>
  <si>
    <t>捕获伙伴ID（-1表示没有）</t>
  </si>
  <si>
    <t>如果是狩猎型怪物，死亡后对应的采集物id（索引Collet表的id），如果不是填-1</t>
  </si>
  <si>
    <t>脱战时是否满血并移除全部Debuff</t>
  </si>
  <si>
    <t>出生动画Id</t>
  </si>
  <si>
    <t>出生动画的时长（单位:毫秒）</t>
  </si>
  <si>
    <t>复活动画ID</t>
  </si>
  <si>
    <t>脚本ID，Npc服务器交互脚本ID，程序添加</t>
  </si>
  <si>
    <t>出生自带的BUFF Id1</t>
  </si>
  <si>
    <t>出生自带的BUFF Id2</t>
  </si>
  <si>
    <t>出生自带的BUFF Id3</t>
  </si>
  <si>
    <t>出生自带的BUFF Id4</t>
  </si>
  <si>
    <t>出生自带的BUFF Id5</t>
  </si>
  <si>
    <t>npc掉落信息是否需要打日志</t>
  </si>
  <si>
    <t>仇恨列表清除时间(填-1，走默认10秒，否则走表的清除时间)</t>
  </si>
  <si>
    <t>仇恨列表对象死亡时是否清除(小于0时表示清除，大于0不清除)</t>
  </si>
  <si>
    <t>怪物掉落重置Id(对于没有的怪物填-1，否则填CountResetInfo的索引， 现在最大索引支持50)</t>
  </si>
  <si>
    <t>掉落计算次数（-1表示默认消耗1次）</t>
  </si>
  <si>
    <t>怪物掉落方式(0表示立即掉落， 1表示拾取掉落)</t>
  </si>
  <si>
    <t>掉落半径</t>
  </si>
  <si>
    <t>掉落高度</t>
  </si>
  <si>
    <t>怪物名字版显示方式(-1 常显， 0 点击显示， 1 是根据主动怪规则显示， 2 不显示名字板)</t>
  </si>
  <si>
    <t>是否脱战后强制回原处</t>
  </si>
  <si>
    <t>拾取后尸体是否立刻消失</t>
  </si>
  <si>
    <t>这个npc默认的技能队列(对应NpcSkillTimeQueue表)</t>
  </si>
  <si>
    <t>巡逻速度（≤0读属性表速度）</t>
  </si>
  <si>
    <t>死亡是否溶解（0：否，1：是）</t>
  </si>
  <si>
    <t>溶解出现时间（&lt;=0，不溶解出现，&gt;0，溶解时间）</t>
  </si>
  <si>
    <t>溶解颜色</t>
  </si>
  <si>
    <t>溶解特效</t>
  </si>
  <si>
    <t>活跃度类型ID（索引活跃度发放配置）</t>
  </si>
  <si>
    <t>死亡掉落是否受到组队加成影响</t>
  </si>
  <si>
    <t>脱战回到原点是否重置朝向</t>
  </si>
  <si>
    <t>脱战时自动寻找仇恨目标范围（-1表示不寻找， 0表示全场景找， 否则一定半径内寻找）</t>
  </si>
  <si>
    <t>受击特效缩放比例</t>
  </si>
  <si>
    <t>掉落情义值</t>
  </si>
  <si>
    <t>功能标记（1五行之序;2逐灭恶灵;）</t>
  </si>
  <si>
    <t>是否播放震屏</t>
  </si>
  <si>
    <t>计时移除时间（单位，毫秒，-1为不计时）</t>
  </si>
  <si>
    <t>是否必须显示友方NpcHp（填1必须显示）</t>
  </si>
  <si>
    <t>LOD距离（≤0  代表为默认值25    其它填多少就是多少）</t>
  </si>
  <si>
    <t>是否是宠物，宠物id，PetAttr</t>
  </si>
  <si>
    <t>师徒授业等级以及授业点掉落Id</t>
  </si>
  <si>
    <t>是否记录掉落日志</t>
  </si>
  <si>
    <t>是否永远隐藏npc头顶血条</t>
  </si>
  <si>
    <t>每秒承受最大伤害万分比无需设置填0</t>
  </si>
  <si>
    <t>1-压缩血量（针对最大血量超int32上限的NPC，需要压缩），0-不压缩</t>
  </si>
  <si>
    <t>精英怪时受击播放动画百分比</t>
  </si>
  <si>
    <t>GuideID</t>
  </si>
  <si>
    <t>TriggerType</t>
  </si>
  <si>
    <t>TriggerLv</t>
  </si>
  <si>
    <t>TriggerLayer</t>
  </si>
  <si>
    <t>TriggerIntParam</t>
  </si>
  <si>
    <t>TriggerStrParam</t>
  </si>
  <si>
    <t>IsRestartGuide</t>
  </si>
  <si>
    <t>RestartGuideStep</t>
  </si>
  <si>
    <t>RestartCondition</t>
  </si>
  <si>
    <t>RestartSceneId</t>
  </si>
  <si>
    <t>RestartPosX</t>
  </si>
  <si>
    <t>RestartPosY</t>
  </si>
  <si>
    <t>RestartPosZ</t>
  </si>
  <si>
    <t>RealGuideID</t>
  </si>
  <si>
    <t>引导触发类型（无触发类型引导=0，任务接取=1，任务完成=2，任务寻路到目标点开启自动攻击=3，完成任务延迟5秒=7）【暂废弃（打开UI=4，关闭UI=5，进入场景=6）】</t>
  </si>
  <si>
    <t>引导触发等级限制（-1代表无限制）</t>
  </si>
  <si>
    <t>引导触发境界限制（-1代表无限制）</t>
  </si>
  <si>
    <t>引导条件参数</t>
  </si>
  <si>
    <t>是否重启引导(点击任务追踪，触发引导重启)1=是；0=不是</t>
  </si>
  <si>
    <t>引导从第几步开始重启</t>
  </si>
  <si>
    <t>引导重启条件（0=代表无条件，点击任务追踪就重启；1=寻路到某场景，某坐标后重启）</t>
  </si>
  <si>
    <t>引导重启场景ID</t>
  </si>
  <si>
    <t>引导重启位置X</t>
  </si>
  <si>
    <t>引导重启位置Y</t>
  </si>
  <si>
    <t>引导重启位置Z</t>
  </si>
  <si>
    <t>引导顺序ID</t>
  </si>
  <si>
    <t>LimitSceneInst</t>
  </si>
  <si>
    <t>StartPatrolId</t>
  </si>
  <si>
    <t>SpriteName</t>
  </si>
  <si>
    <t>CustomId</t>
  </si>
  <si>
    <t>限制刷出场景分线数量（前多少个分线会刷出NPC，填-1表示不限制）</t>
  </si>
  <si>
    <t>巡逻起始路径点（无则填-1 对应NpcPatrolInfo表格）</t>
  </si>
  <si>
    <t>使用的图片名称，填0代表不在场景地图显示</t>
  </si>
  <si>
    <t>自定义id</t>
  </si>
  <si>
    <t>Width</t>
  </si>
  <si>
    <t>Height</t>
  </si>
  <si>
    <t>CharSystem</t>
  </si>
  <si>
    <t>#角色ID</t>
  </si>
  <si>
    <t>分类（1玩家 2NPC 3伙伴）</t>
  </si>
  <si>
    <t>CharModel表ID</t>
  </si>
  <si>
    <t xml:space="preserve">角色的半径(主要用于攻击距离的判定)单位为0.01米--参考值：小型怪物50，中型怪物100，大型怪物150 </t>
  </si>
  <si>
    <t>高度</t>
  </si>
  <si>
    <t>系别(-1无系别 0金系 1木系 2水系 3火系 4土系 5妖兽系 6妖精系 7羽芒系 8羽灵系 9武侠系 10法师系 11妖刃系 12预留职业1系 13羽岚系 14预留职业3系 15预留职业4系 16 预留职业5系 17 预留职业6系 18 预留职业7系 19 预留职业8系 20 预留职业9系)</t>
  </si>
  <si>
    <t>ResPath</t>
  </si>
  <si>
    <t>AnimPath</t>
  </si>
  <si>
    <t>HeadPic</t>
  </si>
  <si>
    <t>HalfFakeOjbID</t>
  </si>
  <si>
    <t>HeadInfoHeight</t>
  </si>
  <si>
    <t>DamageBoardHeight</t>
  </si>
  <si>
    <t>Scale</t>
  </si>
  <si>
    <t>ShadowScale</t>
  </si>
  <si>
    <t>DeadSound01</t>
  </si>
  <si>
    <t>DeadSound02</t>
  </si>
  <si>
    <t>DeadSound03</t>
  </si>
  <si>
    <t>DeadEffectId</t>
  </si>
  <si>
    <t>SpecialStandAnimId</t>
  </si>
  <si>
    <t>SpecialRunAnimId</t>
  </si>
  <si>
    <t>SpecialWalkAnimId</t>
  </si>
  <si>
    <t>SpecialDeadAnimId</t>
  </si>
  <si>
    <t>AttackSoundRate</t>
  </si>
  <si>
    <t>AttcackSoundId</t>
  </si>
  <si>
    <t>HitSoundRate</t>
  </si>
  <si>
    <t>HitSoundId</t>
  </si>
  <si>
    <t>ModelType</t>
  </si>
  <si>
    <t>EffectScale</t>
  </si>
  <si>
    <t>OffsetX</t>
  </si>
  <si>
    <t>OffsetY</t>
  </si>
  <si>
    <t>OffsetZ</t>
  </si>
  <si>
    <t>ColliderRadius</t>
  </si>
  <si>
    <t>ColliderHeight</t>
  </si>
  <si>
    <t>NpcAttack1SoundId</t>
  </si>
  <si>
    <t>NpcAttack2SoundId</t>
  </si>
  <si>
    <t>SelectCircleOffsetY</t>
  </si>
  <si>
    <t>ShadowOffsetY</t>
  </si>
  <si>
    <t>ColliderOffsetY</t>
  </si>
  <si>
    <t>HeadIconType</t>
  </si>
  <si>
    <t>HeadTimeOffestX</t>
  </si>
  <si>
    <t>HeadTimeOffestY</t>
  </si>
  <si>
    <t>HeadTimeScale</t>
  </si>
  <si>
    <t>资源路径</t>
  </si>
  <si>
    <t>头像(Id对应CharModelHeadPic表)</t>
  </si>
  <si>
    <t>对话半身像FakeObjID</t>
  </si>
  <si>
    <t>头顶信息板高度修正</t>
  </si>
  <si>
    <t>伤害板高度修正</t>
  </si>
  <si>
    <t>缩放比例</t>
  </si>
  <si>
    <t>阴影片缩放比例</t>
  </si>
  <si>
    <t>死亡音效1（最终死亡音效从死亡音效1、2、3中随机选取一个播放，如果只填写其中一个，有可能随机中填空的两个，即不播放死亡音效）</t>
  </si>
  <si>
    <t>死亡音效2</t>
  </si>
  <si>
    <t>死亡音效3</t>
  </si>
  <si>
    <t>死亡特效ID</t>
  </si>
  <si>
    <t>特殊待机(战立动作)动作ID(无则填-1)</t>
  </si>
  <si>
    <t>特殊走动动作ID(无则填-1)</t>
  </si>
  <si>
    <t>特殊步行动作ID(无则填-1)</t>
  </si>
  <si>
    <t>特殊死亡动作ID(无则填-1)</t>
  </si>
  <si>
    <t>攻击附加额外音效播放的权重（100 表示100%）</t>
  </si>
  <si>
    <t>攻击附加额外音效ID</t>
  </si>
  <si>
    <t>受击音效播放权重（100 表示100%）</t>
  </si>
  <si>
    <t>受击音效ID</t>
  </si>
  <si>
    <t>骨骼模型类别(1-人形怪（Bip01），2-人形怪（Bip001），3-玩家（Bip01），4-虚拟体导出类，5-多足类（蜘蛛、魔哭九婴），6-玩家（Bip001），7-食人花女王（Bip001）,8嗜血妖花）</t>
  </si>
  <si>
    <t>模型身上的特效缩放比</t>
  </si>
  <si>
    <t>x轴偏移</t>
  </si>
  <si>
    <t>y轴偏移</t>
  </si>
  <si>
    <t>z轴偏移</t>
  </si>
  <si>
    <t>碰撞体半径</t>
  </si>
  <si>
    <t>碰撞体高度</t>
  </si>
  <si>
    <t>怪物普攻1音效</t>
  </si>
  <si>
    <t>怪物普攻2音效</t>
  </si>
  <si>
    <t>选中圈偏移高度</t>
  </si>
  <si>
    <t>阴影偏移高度</t>
  </si>
  <si>
    <t>包围盒偏移高度</t>
  </si>
  <si>
    <t>头像类型(-1:玩家,0:Npc,1:怪物,2:Boss)</t>
  </si>
  <si>
    <t>头顶buff倒计时偏移x</t>
  </si>
  <si>
    <t>头顶buff倒计时偏移y</t>
  </si>
  <si>
    <t>头顶buff倒计时缩放</t>
  </si>
  <si>
    <t>SettingCtrl</t>
  </si>
  <si>
    <t>CanCompleteMis</t>
  </si>
  <si>
    <t>FinishEvent</t>
  </si>
  <si>
    <t>ShowCountdown</t>
  </si>
  <si>
    <t>#ID任务ID</t>
  </si>
  <si>
    <t>设置中关闭引导是否无效（默认0=有效，1=无效）</t>
  </si>
  <si>
    <t>引导完成是否尝试完成对应任务（0=完成任务，1=不完成任务）</t>
  </si>
  <si>
    <t>完成后事件</t>
  </si>
  <si>
    <t>引导是否启用倒计时提示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</si>
</sst>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0_ "/>
  </numFmts>
  <fonts count="32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微软雅黑"/>
      <charset val="134"/>
    </font>
    <font>
      <sz val="11"/>
      <color rgb="FFFF0000"/>
      <name val="微软雅黑"/>
      <charset val="134"/>
    </font>
    <font>
      <sz val="11"/>
      <color theme="0"/>
      <name val="微软雅黑"/>
      <charset val="134"/>
    </font>
    <font>
      <b/>
      <sz val="11"/>
      <color theme="1"/>
      <name val="微软雅黑"/>
      <charset val="134"/>
    </font>
    <font>
      <sz val="11"/>
      <color theme="2"/>
      <name val="微软雅黑"/>
      <charset val="134"/>
    </font>
    <font>
      <b/>
      <sz val="11"/>
      <color rgb="FFFF0000"/>
      <name val="微软雅黑"/>
      <charset val="134"/>
    </font>
    <font>
      <b/>
      <sz val="11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theme="2"/>
      <name val="微软雅黑"/>
      <charset val="134"/>
    </font>
    <font>
      <sz val="11"/>
      <color rgb="FF222222"/>
      <name val="微软雅黑"/>
      <charset val="134"/>
    </font>
    <font>
      <sz val="11"/>
      <color theme="1" tint="0.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7" tint="0.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theme="1" tint="0.5"/>
      </left>
      <right style="thin">
        <color theme="1" tint="0.5"/>
      </right>
      <top style="thin">
        <color theme="1" tint="0.5"/>
      </top>
      <bottom style="thin">
        <color theme="1" tint="0.5"/>
      </bottom>
      <diagonal/>
    </border>
    <border>
      <left style="thin">
        <color theme="7" tint="-0.25"/>
      </left>
      <right style="thin">
        <color theme="7" tint="-0.25"/>
      </right>
      <top style="thin">
        <color theme="7" tint="-0.25"/>
      </top>
      <bottom style="thin">
        <color theme="7" tint="-0.25"/>
      </bottom>
      <diagonal/>
    </border>
    <border>
      <left/>
      <right/>
      <top style="thin">
        <color theme="7" tint="-0.25"/>
      </top>
      <bottom style="thin">
        <color theme="7" tint="-0.25"/>
      </bottom>
      <diagonal/>
    </border>
    <border>
      <left style="thin">
        <color theme="7" tint="-0.25"/>
      </left>
      <right/>
      <top style="thin">
        <color theme="7" tint="-0.25"/>
      </top>
      <bottom style="thin">
        <color theme="7" tint="-0.25"/>
      </bottom>
      <diagonal/>
    </border>
    <border>
      <left/>
      <right style="thin">
        <color theme="7" tint="-0.25"/>
      </right>
      <top/>
      <bottom style="thin">
        <color theme="7" tint="-0.25"/>
      </bottom>
      <diagonal/>
    </border>
    <border>
      <left/>
      <right/>
      <top/>
      <bottom style="thin">
        <color theme="7" tint="-0.25"/>
      </bottom>
      <diagonal/>
    </border>
    <border>
      <left style="thin">
        <color theme="7" tint="-0.25"/>
      </left>
      <right style="thin">
        <color theme="7" tint="-0.25"/>
      </right>
      <top/>
      <bottom style="thin">
        <color theme="7" tint="-0.25"/>
      </bottom>
      <diagonal/>
    </border>
    <border>
      <left style="thin">
        <color theme="7" tint="-0.25"/>
      </left>
      <right/>
      <top/>
      <bottom style="thin">
        <color theme="7" tint="-0.25"/>
      </bottom>
      <diagonal/>
    </border>
    <border>
      <left style="thin">
        <color theme="7" tint="-0.25"/>
      </left>
      <right style="thin">
        <color theme="7" tint="-0.25"/>
      </right>
      <top style="thin">
        <color theme="7" tint="-0.25"/>
      </top>
      <bottom/>
      <diagonal/>
    </border>
    <border>
      <left/>
      <right/>
      <top style="thin">
        <color theme="7" tint="-0.25"/>
      </top>
      <bottom/>
      <diagonal/>
    </border>
    <border>
      <left style="thin">
        <color theme="7" tint="-0.25"/>
      </left>
      <right/>
      <top style="thin">
        <color theme="7" tint="-0.25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5"/>
      </left>
      <right style="thin">
        <color theme="1" tint="0.5"/>
      </right>
      <top/>
      <bottom style="thin">
        <color theme="1" tint="0.5"/>
      </bottom>
      <diagonal/>
    </border>
    <border>
      <left style="thin">
        <color theme="1" tint="0.5"/>
      </left>
      <right style="thin">
        <color theme="1" tint="0.5"/>
      </right>
      <top/>
      <bottom/>
      <diagonal/>
    </border>
    <border>
      <left style="thin">
        <color theme="1" tint="0.5"/>
      </left>
      <right style="thin">
        <color theme="1" tint="0.5"/>
      </right>
      <top style="thin">
        <color theme="1" tint="0.5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7" borderId="16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7" applyNumberFormat="0" applyFill="0" applyAlignment="0" applyProtection="0">
      <alignment vertical="center"/>
    </xf>
    <xf numFmtId="0" fontId="19" fillId="0" borderId="17" applyNumberFormat="0" applyFill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8" borderId="19" applyNumberFormat="0" applyAlignment="0" applyProtection="0">
      <alignment vertical="center"/>
    </xf>
    <xf numFmtId="0" fontId="22" fillId="9" borderId="20" applyNumberFormat="0" applyAlignment="0" applyProtection="0">
      <alignment vertical="center"/>
    </xf>
    <xf numFmtId="0" fontId="23" fillId="9" borderId="19" applyNumberFormat="0" applyAlignment="0" applyProtection="0">
      <alignment vertical="center"/>
    </xf>
    <xf numFmtId="0" fontId="24" fillId="10" borderId="21" applyNumberFormat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26" fillId="0" borderId="23" applyNumberFormat="0" applyFill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176" fontId="0" fillId="0" borderId="0" xfId="0" applyNumberFormat="1" applyFill="1" applyAlignment="1">
      <alignment vertical="center"/>
    </xf>
    <xf numFmtId="0" fontId="0" fillId="0" borderId="0" xfId="0" applyFill="1">
      <alignment vertical="center"/>
    </xf>
    <xf numFmtId="0" fontId="0" fillId="2" borderId="0" xfId="0" applyFill="1" applyAlignment="1">
      <alignment vertical="center"/>
    </xf>
    <xf numFmtId="177" fontId="0" fillId="0" borderId="0" xfId="0" applyNumberFormat="1">
      <alignment vertical="center"/>
    </xf>
    <xf numFmtId="0" fontId="1" fillId="0" borderId="0" xfId="0" applyFont="1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4" fillId="3" borderId="0" xfId="0" applyFont="1" applyFill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0" xfId="0" applyFill="1" applyAlignment="1" applyProtection="1">
      <alignment vertical="center"/>
      <protection locked="0"/>
    </xf>
    <xf numFmtId="0" fontId="5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Protection="1">
      <alignment vertical="center"/>
      <protection locked="0"/>
    </xf>
    <xf numFmtId="0" fontId="2" fillId="2" borderId="9" xfId="0" applyFont="1" applyFill="1" applyBorder="1" applyProtection="1">
      <alignment vertical="center"/>
      <protection locked="0"/>
    </xf>
    <xf numFmtId="0" fontId="2" fillId="2" borderId="11" xfId="0" applyFont="1" applyFill="1" applyBorder="1" applyProtection="1">
      <alignment vertical="center"/>
      <protection locked="0"/>
    </xf>
    <xf numFmtId="0" fontId="2" fillId="4" borderId="1" xfId="0" applyFont="1" applyFill="1" applyBorder="1">
      <alignment vertical="center"/>
    </xf>
    <xf numFmtId="0" fontId="3" fillId="0" borderId="0" xfId="0" applyFont="1">
      <alignment vertical="center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4" fillId="0" borderId="0" xfId="0" applyFont="1">
      <alignment vertical="center"/>
    </xf>
    <xf numFmtId="176" fontId="2" fillId="4" borderId="1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6" borderId="12" xfId="0" applyFont="1" applyFill="1" applyBorder="1" applyAlignment="1">
      <alignment horizontal="left"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12" xfId="0" applyFont="1" applyFill="1" applyBorder="1">
      <alignment vertical="center"/>
    </xf>
    <xf numFmtId="0" fontId="2" fillId="6" borderId="12" xfId="0" applyFont="1" applyFill="1" applyBorder="1" applyAlignment="1">
      <alignment horizontal="left" vertical="center"/>
    </xf>
    <xf numFmtId="0" fontId="2" fillId="0" borderId="0" xfId="0" applyFont="1" applyProtection="1">
      <alignment vertical="center"/>
    </xf>
    <xf numFmtId="0" fontId="6" fillId="0" borderId="0" xfId="0" applyFont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4" fillId="3" borderId="0" xfId="0" applyFont="1" applyFill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9" fillId="3" borderId="0" xfId="0" applyFont="1" applyFill="1" applyAlignment="1" applyProtection="1">
      <alignment horizontal="left" vertical="center"/>
    </xf>
    <xf numFmtId="0" fontId="0" fillId="0" borderId="0" xfId="0" applyAlignment="1">
      <alignment horizontal="left" vertical="center"/>
    </xf>
    <xf numFmtId="0" fontId="9" fillId="3" borderId="0" xfId="0" applyFont="1" applyFill="1" applyAlignment="1">
      <alignment horizontal="left" vertical="center"/>
    </xf>
    <xf numFmtId="0" fontId="10" fillId="3" borderId="0" xfId="0" applyFont="1" applyFill="1">
      <alignment vertical="center"/>
    </xf>
    <xf numFmtId="0" fontId="4" fillId="3" borderId="0" xfId="0" applyFont="1" applyFill="1" applyAlignment="1" applyProtection="1">
      <alignment horizontal="left" vertical="center"/>
    </xf>
    <xf numFmtId="0" fontId="11" fillId="4" borderId="1" xfId="0" applyFont="1" applyFill="1" applyBorder="1" applyAlignment="1" applyProtection="1">
      <alignment horizontal="left" vertical="center"/>
    </xf>
    <xf numFmtId="0" fontId="2" fillId="0" borderId="0" xfId="0" applyFont="1" applyFill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</xf>
    <xf numFmtId="0" fontId="11" fillId="4" borderId="14" xfId="0" applyFont="1" applyFill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center"/>
      <protection locked="0"/>
    </xf>
    <xf numFmtId="0" fontId="11" fillId="4" borderId="15" xfId="0" applyFont="1" applyFill="1" applyBorder="1" applyAlignment="1" applyProtection="1">
      <alignment horizontal="left" vertical="center"/>
    </xf>
    <xf numFmtId="0" fontId="10" fillId="3" borderId="13" xfId="0" applyFont="1" applyFill="1" applyBorder="1">
      <alignment vertical="center"/>
    </xf>
    <xf numFmtId="0" fontId="12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4" fillId="3" borderId="0" xfId="0" applyFont="1" applyFill="1" applyAlignment="1" applyProtection="1">
      <alignment horizontal="left" vertical="center" wrapText="1"/>
    </xf>
    <xf numFmtId="0" fontId="12" fillId="0" borderId="0" xfId="0" applyFont="1" applyAlignment="1">
      <alignment horizontal="center" vertical="center"/>
    </xf>
    <xf numFmtId="0" fontId="0" fillId="5" borderId="0" xfId="0" applyFill="1" applyAlignment="1">
      <alignment horizontal="left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9FBF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3" Type="http://www.wps.cn/officeDocument/2018/jdeExtension" Target="JDEData.bin"/><Relationship Id="rId22" Type="http://schemas.openxmlformats.org/officeDocument/2006/relationships/sheetMetadata" Target="metadata.xml"/><Relationship Id="rId21" Type="http://schemas.openxmlformats.org/officeDocument/2006/relationships/sharedStrings" Target="sharedStrings.xml"/><Relationship Id="rId20" Type="http://schemas.openxmlformats.org/officeDocument/2006/relationships/styles" Target="styles.xml"/><Relationship Id="rId2" Type="http://schemas.openxmlformats.org/officeDocument/2006/relationships/worksheet" Target="worksheets/sheet2.xml"/><Relationship Id="rId19" Type="http://schemas.openxmlformats.org/officeDocument/2006/relationships/theme" Target="theme/theme1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www.wps.cn/officeDocument/2020/jdeControlExtension" Target="../jdecontrols/jdecontrol2.xml"/><Relationship Id="rId3" Type="http://schemas.openxmlformats.org/officeDocument/2006/relationships/image" Target="../media/image2.png"/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www.wps.cn/officeDocument/2020/jdeControlExtension" Target="../jdecontrols/jdecontrol3.xml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4" Type="http://www.wps.cn/officeDocument/2020/jdeControlExtension" Target="../jdecontrols/jdecontrol5.xml"/><Relationship Id="rId3" Type="http://schemas.openxmlformats.org/officeDocument/2006/relationships/image" Target="../media/image5.png"/><Relationship Id="rId2" Type="http://www.wps.cn/officeDocument/2020/jdeControlExtension" Target="../jdecontrols/jdecontrol4.xml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7</xdr:col>
      <xdr:colOff>0</xdr:colOff>
      <xdr:row>1</xdr:row>
      <xdr:rowOff>85725</xdr:rowOff>
    </xdr:from>
    <xdr:to>
      <xdr:col>10</xdr:col>
      <xdr:colOff>304800</xdr:colOff>
      <xdr:row>2</xdr:row>
      <xdr:rowOff>180975</xdr:rowOff>
    </xdr:to>
    <xdr:pic>
      <xdr:nvPicPr>
        <xdr:cNvPr id="2" name="CommandButton1"/>
        <xdr:cNvPicPr/>
      </xdr:nvPicPr>
      <xdr:blipFill>
        <a:blip r:embed="rId1"/>
        <a:stretch>
          <a:fillRect/>
        </a:stretch>
      </xdr:blipFill>
      <xdr:spPr>
        <a:xfrm>
          <a:off x="5495925" y="295275"/>
          <a:ext cx="990600" cy="30480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  <xdr:twoCellAnchor editAs="oneCell">
    <xdr:from>
      <xdr:col>16</xdr:col>
      <xdr:colOff>9525</xdr:colOff>
      <xdr:row>24</xdr:row>
      <xdr:rowOff>76200</xdr:rowOff>
    </xdr:from>
    <xdr:to>
      <xdr:col>17</xdr:col>
      <xdr:colOff>257175</xdr:colOff>
      <xdr:row>25</xdr:row>
      <xdr:rowOff>200025</xdr:rowOff>
    </xdr:to>
    <xdr:pic>
      <xdr:nvPicPr>
        <xdr:cNvPr id="3" name="CommandButton2"/>
        <xdr:cNvPicPr/>
      </xdr:nvPicPr>
      <xdr:blipFill>
        <a:blip r:embed="rId3"/>
        <a:stretch>
          <a:fillRect/>
        </a:stretch>
      </xdr:blipFill>
      <xdr:spPr>
        <a:xfrm>
          <a:off x="8334375" y="5073650"/>
          <a:ext cx="1019175" cy="333375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4"/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9525</xdr:colOff>
      <xdr:row>0</xdr:row>
      <xdr:rowOff>19685</xdr:rowOff>
    </xdr:from>
    <xdr:to>
      <xdr:col>1</xdr:col>
      <xdr:colOff>408940</xdr:colOff>
      <xdr:row>1</xdr:row>
      <xdr:rowOff>6350</xdr:rowOff>
    </xdr:to>
    <xdr:pic>
      <xdr:nvPicPr>
        <xdr:cNvPr id="2" name="CommandButton3"/>
        <xdr:cNvPicPr/>
      </xdr:nvPicPr>
      <xdr:blipFill>
        <a:blip r:embed="rId1"/>
        <a:stretch>
          <a:fillRect/>
        </a:stretch>
      </xdr:blipFill>
      <xdr:spPr>
        <a:xfrm>
          <a:off x="9525" y="19685"/>
          <a:ext cx="1132840" cy="342265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47625</xdr:colOff>
      <xdr:row>0</xdr:row>
      <xdr:rowOff>19050</xdr:rowOff>
    </xdr:from>
    <xdr:to>
      <xdr:col>12</xdr:col>
      <xdr:colOff>438150</xdr:colOff>
      <xdr:row>1</xdr:row>
      <xdr:rowOff>190500</xdr:rowOff>
    </xdr:to>
    <xdr:pic>
      <xdr:nvPicPr>
        <xdr:cNvPr id="2" name="CommandButton4"/>
        <xdr:cNvPicPr/>
      </xdr:nvPicPr>
      <xdr:blipFill>
        <a:blip r:embed="rId1"/>
        <a:stretch>
          <a:fillRect/>
        </a:stretch>
      </xdr:blipFill>
      <xdr:spPr>
        <a:xfrm>
          <a:off x="8829675" y="19050"/>
          <a:ext cx="1133475" cy="38100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  <xdr:twoCellAnchor editAs="oneCell">
    <xdr:from>
      <xdr:col>7</xdr:col>
      <xdr:colOff>9525</xdr:colOff>
      <xdr:row>24</xdr:row>
      <xdr:rowOff>0</xdr:rowOff>
    </xdr:from>
    <xdr:to>
      <xdr:col>8</xdr:col>
      <xdr:colOff>381000</xdr:colOff>
      <xdr:row>24</xdr:row>
      <xdr:rowOff>361950</xdr:rowOff>
    </xdr:to>
    <xdr:pic>
      <xdr:nvPicPr>
        <xdr:cNvPr id="3" name="CommandButton5"/>
        <xdr:cNvPicPr/>
      </xdr:nvPicPr>
      <xdr:blipFill>
        <a:blip r:embed="rId3"/>
        <a:stretch>
          <a:fillRect/>
        </a:stretch>
      </xdr:blipFill>
      <xdr:spPr>
        <a:xfrm>
          <a:off x="5219700" y="5029200"/>
          <a:ext cx="1104900" cy="36195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4"/>
        </a:extLst>
      </xdr:spPr>
    </xdr:pic>
    <xdr:clientData/>
  </xdr:two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清除任务数据</caption>
      <name>CommandButton1</name>
      <back_color>4292401368</back_color>
      <fore_color>4294901760</fore_color>
      <visible>true</visible>
      <back_style>true</back_style>
    </property>
    <property type="geometry">
      <left>5495925</left>
      <top>295275</top>
      <width>990600</width>
      <height>304800</height>
    </property>
    <property type="font">
      <font>
        <family>宋体</family>
        <pointsize>10</pointsize>
        <weight>50</weight>
        <italic>false</italic>
        <underline>false</underline>
        <strickout>false</strickout>
      </font>
    </property>
  </control>
</wpsjdecontrol:jdecontrol>
</file>

<file path=xl/jdecontrols/jdecontrol2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清除引导数据</caption>
      <name>CommandButton2</name>
      <back_color>4292401368</back_color>
      <fore_color>4294901760</fore_color>
      <visible>true</visible>
      <back_style>true</back_style>
    </property>
    <property type="geometry">
      <left>8334375</left>
      <top>5073650</top>
      <width>1019175</width>
      <height>333375</height>
    </property>
    <property type="font">
      <font>
        <family>宋体</family>
        <pointsize>10</pointsize>
        <weight>50</weight>
        <italic>false</italic>
        <underline>false</underline>
        <strickout>false</strickout>
      </font>
    </property>
  </control>
</wpsjdecontrol:jdecontrol>
</file>

<file path=xl/jdecontrols/jdecontrol3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清除对话</caption>
      <name>CommandButton3</name>
      <back_color>4292401368</back_color>
      <fore_color>4294901760</fore_color>
      <visible>true</visible>
      <back_style>true</back_style>
    </property>
    <property type="geometry">
      <left>9525</left>
      <top>19685</top>
      <width>1132840</width>
      <height>342265</height>
    </property>
    <property type="font">
      <font>
        <family>宋体</family>
        <pointsize>10</pointsize>
        <weight>50</weight>
        <italic>false</italic>
        <underline>false</underline>
        <strickout>false</strickout>
      </font>
    </property>
  </control>
</wpsjdecontrol:jdecontrol>
</file>

<file path=xl/jdecontrols/jdecontrol4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清除NPC数据</caption>
      <name>CommandButton4</name>
      <back_color>4292401368</back_color>
      <fore_color>4294901760</fore_color>
      <visible>true</visible>
      <back_style>true</back_style>
    </property>
    <property type="geometry">
      <left>8829675</left>
      <top>19050</top>
      <width>1133475</width>
      <height>381000</height>
    </property>
    <property type="font">
      <font>
        <family>宋体</family>
        <pointsize>10</pointsize>
        <weight>50</weight>
        <italic>false</italic>
        <underline>false</underline>
        <strickout>false</strickout>
      </font>
    </property>
  </control>
</wpsjdecontrol:jdecontrol>
</file>

<file path=xl/jdecontrols/jdecontrol5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清除数据</caption>
      <name>CommandButton5</name>
      <back_color>4292401368</back_color>
      <fore_color>4294901760</fore_color>
      <visible>true</visible>
      <back_style>true</back_style>
    </property>
    <property type="geometry">
      <left>5219700</left>
      <top>5029200</top>
      <width>1104900</width>
      <height>361950</height>
    </property>
    <property type="font">
      <font>
        <family>宋体</family>
        <pointsize>10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R48"/>
  <sheetViews>
    <sheetView tabSelected="1" workbookViewId="0">
      <selection activeCell="AD9" sqref="AD9"/>
    </sheetView>
  </sheetViews>
  <sheetFormatPr defaultColWidth="9" defaultRowHeight="16.5"/>
  <cols>
    <col min="1" max="1" width="8.5" style="8" customWidth="1"/>
    <col min="2" max="2" width="12" style="8" customWidth="1"/>
    <col min="3" max="3" width="13.25" style="8" customWidth="1"/>
    <col min="4" max="4" width="13.75" style="8" hidden="1" customWidth="1"/>
    <col min="5" max="5" width="14.375" style="8" customWidth="1"/>
    <col min="6" max="6" width="12.25" style="8" customWidth="1"/>
    <col min="7" max="7" width="11.75" style="8" customWidth="1"/>
    <col min="8" max="8" width="11.75" style="8" hidden="1" customWidth="1"/>
    <col min="9" max="9" width="9" style="10" customWidth="1"/>
    <col min="10" max="10" width="9" style="8" hidden="1" customWidth="1"/>
    <col min="11" max="11" width="9.375" style="8" customWidth="1"/>
    <col min="12" max="12" width="9.375" style="8" hidden="1" customWidth="1"/>
    <col min="13" max="13" width="10.125" style="10" customWidth="1"/>
    <col min="14" max="14" width="5.375" style="8" hidden="1" customWidth="1"/>
    <col min="15" max="15" width="8.625" style="8" customWidth="1"/>
    <col min="16" max="16" width="9.625" style="8" hidden="1" customWidth="1"/>
    <col min="17" max="17" width="10.125" style="8" customWidth="1"/>
    <col min="18" max="18" width="9.875" style="8" customWidth="1"/>
    <col min="19" max="19" width="12.25" style="8" customWidth="1"/>
    <col min="20" max="20" width="6.875" style="10" customWidth="1"/>
    <col min="21" max="21" width="6.875" style="10" hidden="1" customWidth="1"/>
    <col min="22" max="22" width="10" style="8" customWidth="1"/>
    <col min="23" max="23" width="10" style="8" hidden="1" customWidth="1"/>
    <col min="24" max="24" width="13.75" style="10" customWidth="1"/>
    <col min="25" max="25" width="14" style="10" customWidth="1"/>
    <col min="26" max="26" width="10.125" style="8" customWidth="1"/>
    <col min="27" max="27" width="10.5" style="8" hidden="1" customWidth="1"/>
    <col min="28" max="28" width="14.625" style="8" customWidth="1"/>
    <col min="29" max="29" width="10.5" style="8" hidden="1" customWidth="1"/>
    <col min="30" max="30" width="9" style="8"/>
    <col min="31" max="31" width="9" style="8" hidden="1" customWidth="1"/>
    <col min="35" max="44" width="9" hidden="1" customWidth="1"/>
  </cols>
  <sheetData>
    <row r="1" spans="1:1">
      <c r="A1" s="38" t="s">
        <v>0</v>
      </c>
    </row>
    <row r="2" spans="1:8">
      <c r="A2" s="58" t="s">
        <v>1</v>
      </c>
      <c r="C2" s="8" t="s">
        <v>2</v>
      </c>
      <c r="E2" s="13">
        <v>3</v>
      </c>
      <c r="F2" s="8" t="s">
        <v>3</v>
      </c>
      <c r="G2" s="13">
        <v>8124</v>
      </c>
      <c r="H2" s="10"/>
    </row>
    <row r="3" s="54" customFormat="1" spans="1:31">
      <c r="A3" s="38" t="s">
        <v>4</v>
      </c>
      <c r="B3" s="14"/>
      <c r="C3" s="14"/>
      <c r="D3" s="14"/>
      <c r="E3" s="14"/>
      <c r="F3" s="14"/>
      <c r="G3" s="14"/>
      <c r="H3" s="14"/>
      <c r="I3" s="13"/>
      <c r="J3" s="14"/>
      <c r="K3" s="14"/>
      <c r="L3" s="14"/>
      <c r="M3" s="13"/>
      <c r="N3" s="14"/>
      <c r="O3" s="14"/>
      <c r="P3" s="14"/>
      <c r="Q3" s="14"/>
      <c r="R3" s="14"/>
      <c r="S3" s="14"/>
      <c r="T3" s="13"/>
      <c r="U3" s="13"/>
      <c r="V3" s="14"/>
      <c r="W3" s="14"/>
      <c r="X3" s="13"/>
      <c r="Y3" s="13"/>
      <c r="Z3" s="69" t="s">
        <v>5</v>
      </c>
      <c r="AA3" s="70"/>
      <c r="AB3" s="70"/>
      <c r="AC3" s="70"/>
      <c r="AD3" s="70"/>
      <c r="AE3" s="14"/>
    </row>
    <row r="4" s="55" customFormat="1" spans="1:35">
      <c r="A4" s="59" t="s">
        <v>6</v>
      </c>
      <c r="B4" s="59" t="s">
        <v>7</v>
      </c>
      <c r="C4" s="59" t="s">
        <v>8</v>
      </c>
      <c r="D4" s="59"/>
      <c r="E4" s="59" t="s">
        <v>9</v>
      </c>
      <c r="F4" s="59" t="s">
        <v>10</v>
      </c>
      <c r="G4" s="59" t="s">
        <v>11</v>
      </c>
      <c r="H4" s="59"/>
      <c r="I4" s="59" t="s">
        <v>12</v>
      </c>
      <c r="J4" s="59"/>
      <c r="K4" s="59" t="s">
        <v>13</v>
      </c>
      <c r="L4" s="59"/>
      <c r="M4" s="59" t="s">
        <v>14</v>
      </c>
      <c r="N4" s="59"/>
      <c r="O4" s="59" t="s">
        <v>15</v>
      </c>
      <c r="P4" s="59"/>
      <c r="Q4" s="59" t="s">
        <v>16</v>
      </c>
      <c r="R4" s="59" t="s">
        <v>17</v>
      </c>
      <c r="S4" s="59" t="s">
        <v>18</v>
      </c>
      <c r="T4" s="59" t="s">
        <v>19</v>
      </c>
      <c r="U4" s="59"/>
      <c r="V4" s="59" t="s">
        <v>20</v>
      </c>
      <c r="W4" s="59"/>
      <c r="X4" s="59" t="s">
        <v>21</v>
      </c>
      <c r="Y4" s="59" t="s">
        <v>22</v>
      </c>
      <c r="Z4" s="71" t="s">
        <v>23</v>
      </c>
      <c r="AA4" s="71"/>
      <c r="AB4" s="59" t="s">
        <v>24</v>
      </c>
      <c r="AC4" s="59"/>
      <c r="AD4" s="59" t="s">
        <v>25</v>
      </c>
      <c r="AE4" s="59"/>
      <c r="AI4" s="55" t="s">
        <v>26</v>
      </c>
    </row>
    <row r="5" s="56" customFormat="1" ht="14" customHeight="1" spans="1:44">
      <c r="A5" s="60">
        <f>IF(ROW()-5&lt;$E$2,ROW()-5+$G$2,"")</f>
        <v>8124</v>
      </c>
      <c r="B5" s="53" t="s">
        <v>27</v>
      </c>
      <c r="C5" s="53" t="s">
        <v>28</v>
      </c>
      <c r="D5" s="53"/>
      <c r="E5" s="53" t="s">
        <v>29</v>
      </c>
      <c r="F5" s="53" t="s">
        <v>30</v>
      </c>
      <c r="G5" s="61" t="s">
        <v>31</v>
      </c>
      <c r="H5" s="61"/>
      <c r="I5" s="53" t="s">
        <v>32</v>
      </c>
      <c r="J5" s="67">
        <f>IF(I5="主线",2,IF(I5="主要引导",18,IF(I5="次要引导",12,IF(I5="轶事",20,IF(I5="支线",5,0)))))</f>
        <v>2</v>
      </c>
      <c r="K5" s="53" t="s">
        <v>33</v>
      </c>
      <c r="L5" s="67">
        <f>IF(K5="杀怪",2,IF(K5="送信",3,IF(K5="收集",4,IF(K5="探索",5,IF(K5="杀怪寻物",6,IF(K5="副本杀怪",7,IF(K5="升级",8,IF(K5="采集",9,IF(K5="倒计时",12,IF(K5="左右选项",20,IF(K5="问答",21,IF(K5="通过副本",46,IF(K5="查看书籍",48,IF(K5="脚本",13,0))))))))))))))</f>
        <v>13</v>
      </c>
      <c r="M5" s="53" t="s">
        <v>34</v>
      </c>
      <c r="N5" s="68">
        <f>IF(M5="是",1,IF(M5="否",0,""))</f>
        <v>1</v>
      </c>
      <c r="O5" s="53" t="s">
        <v>34</v>
      </c>
      <c r="P5" s="68">
        <f>IF(O5="是",1,IF(O5="否",0,""))</f>
        <v>1</v>
      </c>
      <c r="Q5" s="53">
        <v>-1</v>
      </c>
      <c r="R5" s="53">
        <v>8125</v>
      </c>
      <c r="S5" s="53">
        <v>30</v>
      </c>
      <c r="T5" s="53" t="s">
        <v>34</v>
      </c>
      <c r="U5" s="68">
        <f>IF(T5="是",1,(IF(T5="否",0,"")))</f>
        <v>1</v>
      </c>
      <c r="V5" s="53" t="s">
        <v>35</v>
      </c>
      <c r="W5" s="68">
        <f>IF(V5="没有",0,IF(V5="有",A5,""))</f>
        <v>0</v>
      </c>
      <c r="X5" s="53">
        <v>5</v>
      </c>
      <c r="Y5" s="53">
        <v>3</v>
      </c>
      <c r="Z5" s="53" t="s">
        <v>36</v>
      </c>
      <c r="AA5" s="68">
        <f>IF($Z5="","",VLOOKUP($Z5,捏造NPC!$J$27:$L$57,3,FALSE))</f>
        <v>123</v>
      </c>
      <c r="AB5" s="53" t="s">
        <v>37</v>
      </c>
      <c r="AC5" s="68">
        <f>IF($AB5="","",VLOOKUP($AB5,捏造NPC!$J$27:$L$57,3,FALSE))</f>
        <v>1000</v>
      </c>
      <c r="AD5" s="53" t="s">
        <v>38</v>
      </c>
      <c r="AE5" s="68">
        <f>IF($AD5="","",VLOOKUP($AD5,捏造NPC!$J$27:$L$57,3,FALSE))</f>
        <v>-1</v>
      </c>
      <c r="AI5" s="73" t="str" cm="1">
        <f t="array" ref="AI5">IF(NpcDialog!$A5="","",_xlfn.TEXTJOIN("、",TRUE,IF($Z$5:$AC$25=NpcDialog!$A5,发布任务!$A$5:$A$24,"")))</f>
        <v>8124、8126</v>
      </c>
      <c r="AJ5" s="73" t="str" cm="1">
        <f t="array" ref="AJ5:AK5">IF(AI5="","",_xlfn.TEXTSPLIT(AI5,"、"))</f>
        <v>8124</v>
      </c>
      <c r="AK5" s="73" t="str">
        <v>8126</v>
      </c>
      <c r="AL5" s="73"/>
      <c r="AM5" s="73"/>
      <c r="AN5" s="73"/>
      <c r="AO5" s="73"/>
      <c r="AP5" s="73"/>
      <c r="AQ5" s="73"/>
      <c r="AR5" s="73"/>
    </row>
    <row r="6" s="56" customFormat="1" spans="1:44">
      <c r="A6" s="62">
        <f t="shared" ref="A6:A15" si="0">IF(ROW()-5&lt;$E$2,ROW()-5+$G$2,"")</f>
        <v>8125</v>
      </c>
      <c r="B6" s="53" t="s">
        <v>39</v>
      </c>
      <c r="C6" s="53" t="s">
        <v>28</v>
      </c>
      <c r="D6" s="53"/>
      <c r="E6" s="53" t="s">
        <v>40</v>
      </c>
      <c r="F6" s="53" t="s">
        <v>30</v>
      </c>
      <c r="G6" s="61" t="s">
        <v>31</v>
      </c>
      <c r="H6" s="61"/>
      <c r="I6" s="53" t="s">
        <v>32</v>
      </c>
      <c r="J6" s="67">
        <f>IF(I6="主线",2,IF(I6="主要引导",18,IF(I6="次要引导",12,IF(I6="轶事",20,IF(I6="支线",5,0)))))</f>
        <v>2</v>
      </c>
      <c r="K6" s="53" t="s">
        <v>41</v>
      </c>
      <c r="L6" s="67">
        <f>IF(K6="杀怪",2,IF(K6="送信",3,IF(K6="收集",4,IF(K6="探索",5,IF(K6="杀怪寻物",6,IF(K6="副本杀怪",7,IF(K6="升级",8,IF(K6="采集",9,IF(K6="倒计时",12,IF(K6="左右选项",20,IF(K6="问答",21,IF(K6="通过副本",46,IF(K6="查看书籍",48,IF(K6="脚本",13,0))))))))))))))</f>
        <v>2</v>
      </c>
      <c r="M6" s="53" t="s">
        <v>34</v>
      </c>
      <c r="N6" s="68">
        <f t="shared" ref="N6:N24" si="1">IF(M6="是",1,IF(M6="否",0,""))</f>
        <v>1</v>
      </c>
      <c r="O6" s="53" t="s">
        <v>34</v>
      </c>
      <c r="P6" s="68">
        <f t="shared" ref="P6:P24" si="2">IF(O6="是",1,IF(O6="否",0,""))</f>
        <v>1</v>
      </c>
      <c r="Q6" s="53">
        <v>8124</v>
      </c>
      <c r="R6" s="53">
        <v>8126</v>
      </c>
      <c r="S6" s="53">
        <v>35</v>
      </c>
      <c r="T6" s="53" t="s">
        <v>34</v>
      </c>
      <c r="U6" s="68">
        <f>IF(T6="是",1,(IF(T6="否",0,"")))</f>
        <v>1</v>
      </c>
      <c r="V6" s="53" t="s">
        <v>35</v>
      </c>
      <c r="W6" s="68">
        <f t="shared" ref="W6:W24" si="3">IF(V6="没有",0,IF(V6="有",A6,""))</f>
        <v>0</v>
      </c>
      <c r="X6" s="53">
        <v>6</v>
      </c>
      <c r="Y6" s="53">
        <v>4</v>
      </c>
      <c r="Z6" s="53" t="s">
        <v>42</v>
      </c>
      <c r="AA6" s="68">
        <f>IF($Z6="","",VLOOKUP($Z6,捏造NPC!$J$27:$L$57,3,FALSE))</f>
        <v>1001</v>
      </c>
      <c r="AB6" s="53" t="s">
        <v>42</v>
      </c>
      <c r="AC6" s="68">
        <f>IF($AB6="","",VLOOKUP($AB6,捏造NPC!$J$27:$L$57,3,FALSE))</f>
        <v>1001</v>
      </c>
      <c r="AD6" s="53" t="s">
        <v>38</v>
      </c>
      <c r="AE6" s="68">
        <f>IF($AD6="","",VLOOKUP($AD6,捏造NPC!$J$27:$L$57,3,FALSE))</f>
        <v>-1</v>
      </c>
      <c r="AI6" s="73" t="str" cm="1">
        <f t="array" ref="AI6">IF(NpcDialog!$A6="","",_xlfn.TEXTJOIN("、",TRUE,IF($Z$5:$AC$25=NpcDialog!$A6,发布任务!$A$5:$A$24,"")))</f>
        <v>8126</v>
      </c>
      <c r="AJ6" s="73" t="str" cm="1">
        <f t="array" ref="AJ6">IF(AI6="","",_xlfn.TEXTSPLIT(AI6,"、"))</f>
        <v>8126</v>
      </c>
      <c r="AK6" s="73"/>
      <c r="AL6" s="73"/>
      <c r="AM6" s="73"/>
      <c r="AN6" s="73"/>
      <c r="AO6" s="73"/>
      <c r="AP6" s="73"/>
      <c r="AQ6" s="73"/>
      <c r="AR6" s="73"/>
    </row>
    <row r="7" s="56" customFormat="1" spans="1:44">
      <c r="A7" s="62">
        <f t="shared" si="0"/>
        <v>8126</v>
      </c>
      <c r="B7" s="53" t="s">
        <v>43</v>
      </c>
      <c r="C7" s="53" t="s">
        <v>28</v>
      </c>
      <c r="D7" s="53"/>
      <c r="E7" s="53" t="s">
        <v>44</v>
      </c>
      <c r="F7" s="53" t="s">
        <v>30</v>
      </c>
      <c r="G7" s="61" t="s">
        <v>31</v>
      </c>
      <c r="H7" s="61"/>
      <c r="I7" s="53" t="s">
        <v>32</v>
      </c>
      <c r="J7" s="67">
        <f t="shared" ref="J7:J24" si="4">IF(I7="主线",2,IF(I7="主要引导",18,IF(I7="次要引导",12,IF(I7="轶事",20,IF(I7="支线",5,0)))))</f>
        <v>2</v>
      </c>
      <c r="K7" s="53" t="s">
        <v>45</v>
      </c>
      <c r="L7" s="67">
        <f t="shared" ref="L7:L24" si="5">IF(K7="杀怪",2,IF(K7="送信",3,IF(K7="收集",4,IF(K7="探索",5,IF(K7="杀怪寻物",6,IF(K7="副本杀怪",7,IF(K7="升级",8,IF(K7="采集",9,IF(K7="倒计时",12,IF(K7="左右选项",20,IF(K7="问答",21,IF(K7="通过副本",46,IF(K7="查看书籍",48,IF(K7="脚本",13,0))))))))))))))</f>
        <v>4</v>
      </c>
      <c r="M7" s="53" t="s">
        <v>34</v>
      </c>
      <c r="N7" s="68">
        <f t="shared" si="1"/>
        <v>1</v>
      </c>
      <c r="O7" s="53" t="s">
        <v>34</v>
      </c>
      <c r="P7" s="68">
        <f t="shared" si="2"/>
        <v>1</v>
      </c>
      <c r="Q7" s="53">
        <v>8125</v>
      </c>
      <c r="R7" s="53">
        <v>-1</v>
      </c>
      <c r="S7" s="53">
        <v>40</v>
      </c>
      <c r="T7" s="53" t="s">
        <v>46</v>
      </c>
      <c r="U7" s="68">
        <f t="shared" ref="U7:U24" si="6">IF(T7="是",1,(IF(T7="否",0,"")))</f>
        <v>0</v>
      </c>
      <c r="V7" s="53" t="s">
        <v>35</v>
      </c>
      <c r="W7" s="68">
        <f t="shared" si="3"/>
        <v>0</v>
      </c>
      <c r="X7" s="53">
        <v>7</v>
      </c>
      <c r="Y7" s="53">
        <v>5</v>
      </c>
      <c r="Z7" s="53" t="s">
        <v>47</v>
      </c>
      <c r="AA7" s="68">
        <f>IF($Z7="","",VLOOKUP($Z7,捏造NPC!$J$27:$L$57,3,FALSE))</f>
        <v>1002</v>
      </c>
      <c r="AB7" s="53" t="s">
        <v>37</v>
      </c>
      <c r="AC7" s="68">
        <f>IF($AB7="","",VLOOKUP($AB7,捏造NPC!$J$27:$L$57,3,FALSE))</f>
        <v>1000</v>
      </c>
      <c r="AD7" s="53" t="s">
        <v>38</v>
      </c>
      <c r="AE7" s="68">
        <f>IF($AD7="","",VLOOKUP($AD7,捏造NPC!$J$27:$L$57,3,FALSE))</f>
        <v>-1</v>
      </c>
      <c r="AI7" s="73" t="str" cm="1">
        <f t="array" ref="AI7">IF(NpcDialog!$A7="","",_xlfn.TEXTJOIN("、",TRUE,IF($Z$5:$AC$25=NpcDialog!$A7,发布任务!$A$5:$A$24,"")))</f>
        <v/>
      </c>
      <c r="AJ7" s="73" t="str" cm="1">
        <f t="array" ref="AJ7">IF(AI7="","",_xlfn.TEXTSPLIT(AI7,"、"))</f>
        <v/>
      </c>
      <c r="AK7" s="73"/>
      <c r="AL7" s="73"/>
      <c r="AM7" s="73"/>
      <c r="AN7" s="73"/>
      <c r="AO7" s="73"/>
      <c r="AP7" s="73"/>
      <c r="AQ7" s="73"/>
      <c r="AR7" s="73"/>
    </row>
    <row r="8" s="56" customFormat="1" spans="1:44">
      <c r="A8" s="62" t="str">
        <f t="shared" si="0"/>
        <v/>
      </c>
      <c r="B8" s="53"/>
      <c r="C8" s="53"/>
      <c r="D8" s="53"/>
      <c r="E8" s="53"/>
      <c r="F8" s="53"/>
      <c r="G8" s="61"/>
      <c r="H8" s="61"/>
      <c r="I8" s="53"/>
      <c r="J8" s="67">
        <f t="shared" si="4"/>
        <v>0</v>
      </c>
      <c r="K8" s="53"/>
      <c r="L8" s="67">
        <f t="shared" si="5"/>
        <v>0</v>
      </c>
      <c r="M8" s="53"/>
      <c r="N8" s="68" t="str">
        <f t="shared" si="1"/>
        <v/>
      </c>
      <c r="O8" s="53"/>
      <c r="P8" s="68" t="str">
        <f t="shared" si="2"/>
        <v/>
      </c>
      <c r="Q8" s="53"/>
      <c r="R8" s="53"/>
      <c r="S8" s="53"/>
      <c r="T8" s="53"/>
      <c r="U8" s="68" t="str">
        <f t="shared" si="6"/>
        <v/>
      </c>
      <c r="V8" s="53"/>
      <c r="W8" s="68" t="str">
        <f t="shared" si="3"/>
        <v/>
      </c>
      <c r="X8" s="53"/>
      <c r="Y8" s="53"/>
      <c r="Z8" s="53"/>
      <c r="AA8" s="68" t="str">
        <f>IF($Z8="","",VLOOKUP($Z8,捏造NPC!$J$27:$L$57,3,FALSE))</f>
        <v/>
      </c>
      <c r="AB8" s="53"/>
      <c r="AC8" s="68" t="str">
        <f>IF($AB8="","",VLOOKUP($AB8,捏造NPC!$J$27:$L$57,3,FALSE))</f>
        <v/>
      </c>
      <c r="AD8" s="53"/>
      <c r="AE8" s="68" t="str">
        <f>IF($AD8="","",VLOOKUP($AD8,捏造NPC!$J$27:$L$57,3,FALSE))</f>
        <v/>
      </c>
      <c r="AI8" s="73" t="str" cm="1">
        <f t="array" ref="AI8">IF(NpcDialog!$A8="","",_xlfn.TEXTJOIN("、",TRUE,IF($Z$5:$AC$25=NpcDialog!$A8,发布任务!$A$5:$A$24,"")))</f>
        <v/>
      </c>
      <c r="AJ8" s="73" t="str" cm="1">
        <f t="array" ref="AJ8">IF(AI8="","",_xlfn.TEXTSPLIT(AI8,"、"))</f>
        <v/>
      </c>
      <c r="AK8" s="73"/>
      <c r="AL8" s="73"/>
      <c r="AM8" s="73"/>
      <c r="AN8" s="73"/>
      <c r="AO8" s="73"/>
      <c r="AP8" s="73"/>
      <c r="AQ8" s="73"/>
      <c r="AR8" s="73"/>
    </row>
    <row r="9" s="56" customFormat="1" spans="1:44">
      <c r="A9" s="63" t="str">
        <f t="shared" si="0"/>
        <v/>
      </c>
      <c r="B9" s="53"/>
      <c r="C9" s="53"/>
      <c r="D9" s="53"/>
      <c r="E9" s="53"/>
      <c r="F9" s="53"/>
      <c r="G9" s="61"/>
      <c r="H9" s="61"/>
      <c r="I9" s="53"/>
      <c r="J9" s="67">
        <f t="shared" si="4"/>
        <v>0</v>
      </c>
      <c r="K9" s="53"/>
      <c r="L9" s="67">
        <f t="shared" si="5"/>
        <v>0</v>
      </c>
      <c r="M9" s="53"/>
      <c r="N9" s="68" t="str">
        <f t="shared" si="1"/>
        <v/>
      </c>
      <c r="O9" s="53"/>
      <c r="P9" s="68" t="str">
        <f t="shared" si="2"/>
        <v/>
      </c>
      <c r="Q9" s="53"/>
      <c r="R9" s="53"/>
      <c r="S9" s="53"/>
      <c r="T9" s="53"/>
      <c r="U9" s="68" t="str">
        <f t="shared" si="6"/>
        <v/>
      </c>
      <c r="V9" s="53"/>
      <c r="W9" s="68" t="str">
        <f t="shared" si="3"/>
        <v/>
      </c>
      <c r="X9" s="53"/>
      <c r="Y9" s="53"/>
      <c r="Z9" s="53"/>
      <c r="AA9" s="68" t="str">
        <f>IF($Z9="","",VLOOKUP($Z9,捏造NPC!$J$27:$L$57,3,FALSE))</f>
        <v/>
      </c>
      <c r="AB9" s="53"/>
      <c r="AC9" s="68" t="str">
        <f>IF($AB9="","",VLOOKUP($AB9,捏造NPC!$J$27:$L$57,3,FALSE))</f>
        <v/>
      </c>
      <c r="AD9" s="53"/>
      <c r="AE9" s="68" t="str">
        <f>IF($AD9="","",VLOOKUP($AD9,捏造NPC!$J$27:$L$57,3,FALSE))</f>
        <v/>
      </c>
      <c r="AI9" s="73" t="str" cm="1">
        <f t="array" ref="AI9">IF(NpcDialog!$A9="","",_xlfn.TEXTJOIN("、",TRUE,IF($Z$5:$AC$25=NpcDialog!$A9,发布任务!$A$5:$A$24,"")))</f>
        <v/>
      </c>
      <c r="AJ9" s="73" t="str" cm="1">
        <f t="array" ref="AJ9">IF(AI9="","",_xlfn.TEXTSPLIT(AI9,"、"))</f>
        <v/>
      </c>
      <c r="AK9" s="73"/>
      <c r="AL9" s="73"/>
      <c r="AM9" s="73"/>
      <c r="AN9" s="73"/>
      <c r="AO9" s="73"/>
      <c r="AP9" s="73"/>
      <c r="AQ9" s="73"/>
      <c r="AR9" s="73"/>
    </row>
    <row r="10" s="56" customFormat="1" spans="1:44">
      <c r="A10" s="60" t="str">
        <f t="shared" si="0"/>
        <v/>
      </c>
      <c r="B10" s="53"/>
      <c r="C10" s="53"/>
      <c r="D10" s="53"/>
      <c r="E10" s="53"/>
      <c r="F10" s="53"/>
      <c r="G10" s="53"/>
      <c r="H10" s="53"/>
      <c r="I10" s="53"/>
      <c r="J10" s="67">
        <f t="shared" si="4"/>
        <v>0</v>
      </c>
      <c r="K10" s="53"/>
      <c r="L10" s="67">
        <f t="shared" si="5"/>
        <v>0</v>
      </c>
      <c r="M10" s="53"/>
      <c r="N10" s="68" t="str">
        <f t="shared" si="1"/>
        <v/>
      </c>
      <c r="O10" s="53"/>
      <c r="P10" s="68" t="str">
        <f t="shared" si="2"/>
        <v/>
      </c>
      <c r="Q10" s="53"/>
      <c r="R10" s="53"/>
      <c r="S10" s="53"/>
      <c r="T10" s="53"/>
      <c r="U10" s="68" t="str">
        <f t="shared" si="6"/>
        <v/>
      </c>
      <c r="V10" s="53"/>
      <c r="W10" s="68" t="str">
        <f t="shared" si="3"/>
        <v/>
      </c>
      <c r="X10" s="53"/>
      <c r="Y10" s="53"/>
      <c r="Z10" s="53"/>
      <c r="AA10" s="68" t="str">
        <f>IF($Z10="","",VLOOKUP($Z10,捏造NPC!$J$27:$L$57,3,FALSE))</f>
        <v/>
      </c>
      <c r="AB10" s="53"/>
      <c r="AC10" s="68" t="str">
        <f>IF($AB10="","",VLOOKUP($AB10,捏造NPC!$J$27:$L$57,3,FALSE))</f>
        <v/>
      </c>
      <c r="AD10" s="53"/>
      <c r="AE10" s="68" t="str">
        <f>IF($AD10="","",VLOOKUP($AD10,捏造NPC!$J$27:$L$57,3,FALSE))</f>
        <v/>
      </c>
      <c r="AI10" s="73" t="str" cm="1">
        <f t="array" ref="AI10">IF(NpcDialog!$A10="","",_xlfn.TEXTJOIN("、",TRUE,IF($Z$5:$AC$25=NpcDialog!$A10,发布任务!$A$5:$A$24,"")))</f>
        <v/>
      </c>
      <c r="AJ10" s="73" t="str" cm="1">
        <f t="array" ref="AJ10">IF(AI10="","",_xlfn.TEXTSPLIT(AI10,"、"))</f>
        <v/>
      </c>
      <c r="AK10" s="73"/>
      <c r="AL10" s="73"/>
      <c r="AM10" s="73"/>
      <c r="AN10" s="73"/>
      <c r="AO10" s="73"/>
      <c r="AP10" s="73"/>
      <c r="AQ10" s="73"/>
      <c r="AR10" s="73"/>
    </row>
    <row r="11" s="56" customFormat="1" spans="1:44">
      <c r="A11" s="62" t="str">
        <f t="shared" si="0"/>
        <v/>
      </c>
      <c r="B11" s="53"/>
      <c r="C11" s="53"/>
      <c r="D11" s="53"/>
      <c r="E11" s="53"/>
      <c r="F11" s="53"/>
      <c r="G11" s="53"/>
      <c r="H11" s="53"/>
      <c r="I11" s="53"/>
      <c r="J11" s="67">
        <f t="shared" si="4"/>
        <v>0</v>
      </c>
      <c r="K11" s="53"/>
      <c r="L11" s="67">
        <f t="shared" si="5"/>
        <v>0</v>
      </c>
      <c r="M11" s="53"/>
      <c r="N11" s="68" t="str">
        <f t="shared" si="1"/>
        <v/>
      </c>
      <c r="O11" s="53"/>
      <c r="P11" s="68" t="str">
        <f t="shared" si="2"/>
        <v/>
      </c>
      <c r="Q11" s="53"/>
      <c r="R11" s="53"/>
      <c r="S11" s="53"/>
      <c r="T11" s="53"/>
      <c r="U11" s="68" t="str">
        <f t="shared" si="6"/>
        <v/>
      </c>
      <c r="V11" s="53"/>
      <c r="W11" s="68" t="str">
        <f t="shared" si="3"/>
        <v/>
      </c>
      <c r="X11" s="53"/>
      <c r="Y11" s="53"/>
      <c r="Z11" s="53"/>
      <c r="AA11" s="68" t="str">
        <f>IF($Z11="","",VLOOKUP($Z11,捏造NPC!$J$27:$L$57,3,FALSE))</f>
        <v/>
      </c>
      <c r="AB11" s="53"/>
      <c r="AC11" s="68" t="str">
        <f>IF($AB11="","",VLOOKUP($AB11,捏造NPC!$J$27:$L$57,3,FALSE))</f>
        <v/>
      </c>
      <c r="AD11" s="53"/>
      <c r="AE11" s="68" t="str">
        <f>IF($AD11="","",VLOOKUP($AD11,捏造NPC!$J$27:$L$57,3,FALSE))</f>
        <v/>
      </c>
      <c r="AI11" s="73" t="str" cm="1">
        <f t="array" ref="AI11">IF(NpcDialog!$A11="","",_xlfn.TEXTJOIN("、",TRUE,IF($Z$5:$AC$25=NpcDialog!$A11,发布任务!$A$5:$A$24,"")))</f>
        <v/>
      </c>
      <c r="AJ11" s="73" t="str" cm="1">
        <f t="array" ref="AJ11">IF(AI11="","",_xlfn.TEXTSPLIT(AI11,"、"))</f>
        <v/>
      </c>
      <c r="AK11" s="73"/>
      <c r="AL11" s="73"/>
      <c r="AM11" s="73"/>
      <c r="AN11" s="73"/>
      <c r="AO11" s="73"/>
      <c r="AP11" s="73"/>
      <c r="AQ11" s="73"/>
      <c r="AR11" s="73"/>
    </row>
    <row r="12" s="56" customFormat="1" spans="1:44">
      <c r="A12" s="63" t="str">
        <f t="shared" si="0"/>
        <v/>
      </c>
      <c r="B12" s="53"/>
      <c r="C12" s="64"/>
      <c r="D12" s="53"/>
      <c r="E12" s="53"/>
      <c r="F12" s="53"/>
      <c r="G12" s="53"/>
      <c r="H12" s="53"/>
      <c r="I12" s="53"/>
      <c r="J12" s="67">
        <f t="shared" si="4"/>
        <v>0</v>
      </c>
      <c r="K12" s="53"/>
      <c r="L12" s="67">
        <f t="shared" si="5"/>
        <v>0</v>
      </c>
      <c r="M12" s="53"/>
      <c r="N12" s="68" t="str">
        <f t="shared" si="1"/>
        <v/>
      </c>
      <c r="O12" s="53"/>
      <c r="P12" s="68" t="str">
        <f t="shared" si="2"/>
        <v/>
      </c>
      <c r="Q12" s="53"/>
      <c r="R12" s="53"/>
      <c r="S12" s="53"/>
      <c r="T12" s="53"/>
      <c r="U12" s="68" t="str">
        <f t="shared" si="6"/>
        <v/>
      </c>
      <c r="V12" s="53"/>
      <c r="W12" s="68" t="str">
        <f t="shared" si="3"/>
        <v/>
      </c>
      <c r="X12" s="53"/>
      <c r="Y12" s="53"/>
      <c r="Z12" s="53"/>
      <c r="AA12" s="68" t="str">
        <f>IF($Z12="","",VLOOKUP($Z12,捏造NPC!$J$27:$L$57,3,FALSE))</f>
        <v/>
      </c>
      <c r="AB12" s="53"/>
      <c r="AC12" s="68" t="str">
        <f>IF($AB12="","",VLOOKUP($AB12,捏造NPC!$J$27:$L$57,3,FALSE))</f>
        <v/>
      </c>
      <c r="AD12" s="53"/>
      <c r="AE12" s="68" t="str">
        <f>IF($AD12="","",VLOOKUP($AD12,捏造NPC!$J$27:$L$57,3,FALSE))</f>
        <v/>
      </c>
      <c r="AI12" s="73" t="str" cm="1">
        <f t="array" ref="AI12">IF(NpcDialog!$A12="","",_xlfn.TEXTJOIN("、",TRUE,IF($Z$5:$AC$25=NpcDialog!$A12,发布任务!$A$5:$A$24,"")))</f>
        <v/>
      </c>
      <c r="AJ12" s="73" t="str" cm="1">
        <f t="array" ref="AJ12">IF(AI12="","",_xlfn.TEXTSPLIT(AI12,"、"))</f>
        <v/>
      </c>
      <c r="AK12" s="73"/>
      <c r="AL12" s="73"/>
      <c r="AM12" s="73"/>
      <c r="AN12" s="73"/>
      <c r="AO12" s="73"/>
      <c r="AP12" s="73"/>
      <c r="AQ12" s="73"/>
      <c r="AR12" s="73"/>
    </row>
    <row r="13" s="56" customFormat="1" spans="1:44">
      <c r="A13" s="65" t="str">
        <f t="shared" si="0"/>
        <v/>
      </c>
      <c r="B13" s="53"/>
      <c r="C13" s="53"/>
      <c r="D13" s="53"/>
      <c r="E13" s="53"/>
      <c r="F13" s="53"/>
      <c r="G13" s="53"/>
      <c r="H13" s="53"/>
      <c r="I13" s="53"/>
      <c r="J13" s="67">
        <f t="shared" si="4"/>
        <v>0</v>
      </c>
      <c r="K13" s="53"/>
      <c r="L13" s="67">
        <f t="shared" si="5"/>
        <v>0</v>
      </c>
      <c r="M13" s="53"/>
      <c r="N13" s="68" t="str">
        <f t="shared" si="1"/>
        <v/>
      </c>
      <c r="O13" s="53"/>
      <c r="P13" s="68" t="str">
        <f t="shared" si="2"/>
        <v/>
      </c>
      <c r="Q13" s="53"/>
      <c r="R13" s="53"/>
      <c r="S13" s="53"/>
      <c r="T13" s="53"/>
      <c r="U13" s="68" t="str">
        <f t="shared" si="6"/>
        <v/>
      </c>
      <c r="V13" s="53"/>
      <c r="W13" s="68" t="str">
        <f t="shared" si="3"/>
        <v/>
      </c>
      <c r="X13" s="53"/>
      <c r="Y13" s="53"/>
      <c r="Z13" s="53"/>
      <c r="AA13" s="68" t="str">
        <f>IF($Z13="","",VLOOKUP($Z13,捏造NPC!$J$27:$L$57,3,FALSE))</f>
        <v/>
      </c>
      <c r="AB13" s="53"/>
      <c r="AC13" s="68" t="str">
        <f>IF($AB13="","",VLOOKUP($AB13,捏造NPC!$J$27:$L$57,3,FALSE))</f>
        <v/>
      </c>
      <c r="AD13" s="53"/>
      <c r="AE13" s="68" t="str">
        <f>IF($AD13="","",VLOOKUP($AD13,捏造NPC!$J$27:$L$57,3,FALSE))</f>
        <v/>
      </c>
      <c r="AI13" s="73" t="str" cm="1">
        <f t="array" ref="AI13">IF(NpcDialog!$A13="","",_xlfn.TEXTJOIN("、",TRUE,IF($Z$5:$AC$25=NpcDialog!$A13,发布任务!$A$5:$A$24,"")))</f>
        <v/>
      </c>
      <c r="AJ13" s="73" t="str" cm="1">
        <f t="array" ref="AJ13">IF(AI13="","",_xlfn.TEXTSPLIT(AI13,"、"))</f>
        <v/>
      </c>
      <c r="AK13" s="73"/>
      <c r="AL13" s="73"/>
      <c r="AM13" s="73"/>
      <c r="AN13" s="73"/>
      <c r="AO13" s="73"/>
      <c r="AP13" s="73"/>
      <c r="AQ13" s="73"/>
      <c r="AR13" s="73"/>
    </row>
    <row r="14" s="56" customFormat="1" spans="1:44">
      <c r="A14" s="65" t="str">
        <f t="shared" si="0"/>
        <v/>
      </c>
      <c r="B14" s="53"/>
      <c r="C14" s="53"/>
      <c r="D14" s="53"/>
      <c r="E14" s="53"/>
      <c r="F14" s="53"/>
      <c r="G14" s="53"/>
      <c r="H14" s="53"/>
      <c r="I14" s="53"/>
      <c r="J14" s="67">
        <f t="shared" si="4"/>
        <v>0</v>
      </c>
      <c r="K14" s="53"/>
      <c r="L14" s="67">
        <f t="shared" si="5"/>
        <v>0</v>
      </c>
      <c r="M14" s="53"/>
      <c r="N14" s="68" t="str">
        <f t="shared" si="1"/>
        <v/>
      </c>
      <c r="O14" s="53"/>
      <c r="P14" s="68" t="str">
        <f t="shared" si="2"/>
        <v/>
      </c>
      <c r="Q14" s="53"/>
      <c r="R14" s="53"/>
      <c r="S14" s="53"/>
      <c r="T14" s="53"/>
      <c r="U14" s="68" t="str">
        <f t="shared" si="6"/>
        <v/>
      </c>
      <c r="V14" s="53"/>
      <c r="W14" s="68" t="str">
        <f t="shared" si="3"/>
        <v/>
      </c>
      <c r="X14" s="53"/>
      <c r="Y14" s="53"/>
      <c r="Z14" s="53"/>
      <c r="AA14" s="68" t="str">
        <f>IF($Z14="","",VLOOKUP($Z14,捏造NPC!$J$27:$L$57,3,FALSE))</f>
        <v/>
      </c>
      <c r="AB14" s="53"/>
      <c r="AC14" s="68" t="str">
        <f>IF($AB14="","",VLOOKUP($AB14,捏造NPC!$J$27:$L$57,3,FALSE))</f>
        <v/>
      </c>
      <c r="AD14" s="53"/>
      <c r="AE14" s="68" t="str">
        <f>IF($AD14="","",VLOOKUP($AD14,捏造NPC!$J$27:$L$57,3,FALSE))</f>
        <v/>
      </c>
      <c r="AI14" s="73" t="str" cm="1">
        <f t="array" ref="AI14">IF(NpcDialog!$A14="","",_xlfn.TEXTJOIN("、",TRUE,IF($Z$5:$AC$25=NpcDialog!$A14,发布任务!$A$5:$A$24,"")))</f>
        <v/>
      </c>
      <c r="AJ14" s="73" t="str" cm="1">
        <f t="array" ref="AJ14">IF(AI14="","",_xlfn.TEXTSPLIT(AI14,"、"))</f>
        <v/>
      </c>
      <c r="AK14" s="73"/>
      <c r="AL14" s="73"/>
      <c r="AM14" s="73"/>
      <c r="AN14" s="73"/>
      <c r="AO14" s="73"/>
      <c r="AP14" s="73"/>
      <c r="AQ14" s="73"/>
      <c r="AR14" s="73"/>
    </row>
    <row r="15" s="56" customFormat="1" spans="1:44">
      <c r="A15" s="65" t="str">
        <f t="shared" si="0"/>
        <v/>
      </c>
      <c r="B15" s="53"/>
      <c r="C15" s="53"/>
      <c r="D15" s="53"/>
      <c r="E15" s="53"/>
      <c r="F15" s="53"/>
      <c r="G15" s="53"/>
      <c r="H15" s="53"/>
      <c r="I15" s="53"/>
      <c r="J15" s="67">
        <f t="shared" si="4"/>
        <v>0</v>
      </c>
      <c r="K15" s="53"/>
      <c r="L15" s="67">
        <f t="shared" si="5"/>
        <v>0</v>
      </c>
      <c r="M15" s="53"/>
      <c r="N15" s="68" t="str">
        <f t="shared" si="1"/>
        <v/>
      </c>
      <c r="O15" s="53"/>
      <c r="P15" s="68" t="str">
        <f t="shared" si="2"/>
        <v/>
      </c>
      <c r="Q15" s="53"/>
      <c r="R15" s="53"/>
      <c r="S15" s="53"/>
      <c r="T15" s="53"/>
      <c r="U15" s="68" t="str">
        <f t="shared" si="6"/>
        <v/>
      </c>
      <c r="V15" s="53"/>
      <c r="W15" s="68" t="str">
        <f t="shared" si="3"/>
        <v/>
      </c>
      <c r="X15" s="53"/>
      <c r="Y15" s="53"/>
      <c r="Z15" s="53"/>
      <c r="AA15" s="68" t="str">
        <f>IF($Z15="","",VLOOKUP($Z15,捏造NPC!$J$27:$L$57,3,FALSE))</f>
        <v/>
      </c>
      <c r="AB15" s="53"/>
      <c r="AC15" s="68" t="str">
        <f>IF($AB15="","",VLOOKUP($AB15,捏造NPC!$J$27:$L$57,3,FALSE))</f>
        <v/>
      </c>
      <c r="AD15" s="53"/>
      <c r="AE15" s="68" t="str">
        <f>IF($AD15="","",VLOOKUP($AD15,捏造NPC!$J$27:$L$57,3,FALSE))</f>
        <v/>
      </c>
      <c r="AI15" s="73" t="str" cm="1">
        <f t="array" ref="AI15">IF(NpcDialog!$A15="","",_xlfn.TEXTJOIN("、",TRUE,IF($Z$5:$AC$25=NpcDialog!$A15,发布任务!$A$5:$A$24,"")))</f>
        <v/>
      </c>
      <c r="AJ15" s="73" t="str" cm="1">
        <f t="array" ref="AJ15">IF(AI15="","",_xlfn.TEXTSPLIT(AI15,"、"))</f>
        <v/>
      </c>
      <c r="AK15" s="73"/>
      <c r="AL15" s="73"/>
      <c r="AM15" s="73"/>
      <c r="AN15" s="73"/>
      <c r="AO15" s="73"/>
      <c r="AP15" s="73"/>
      <c r="AQ15" s="73"/>
      <c r="AR15" s="73"/>
    </row>
    <row r="16" s="56" customFormat="1" spans="1:44">
      <c r="A16" s="65" t="str">
        <f t="shared" ref="A16:A24" si="7">IF(ROW()-5&lt;$E$2,ROW()-5+$G$2,"")</f>
        <v/>
      </c>
      <c r="B16" s="53"/>
      <c r="C16" s="53"/>
      <c r="D16" s="53"/>
      <c r="E16" s="53"/>
      <c r="F16" s="53"/>
      <c r="G16" s="53"/>
      <c r="H16" s="53"/>
      <c r="I16" s="53"/>
      <c r="J16" s="67">
        <f t="shared" si="4"/>
        <v>0</v>
      </c>
      <c r="K16" s="53"/>
      <c r="L16" s="67">
        <f t="shared" si="5"/>
        <v>0</v>
      </c>
      <c r="M16" s="53"/>
      <c r="N16" s="68" t="str">
        <f t="shared" si="1"/>
        <v/>
      </c>
      <c r="O16" s="53"/>
      <c r="P16" s="68" t="str">
        <f t="shared" si="2"/>
        <v/>
      </c>
      <c r="Q16" s="53"/>
      <c r="R16" s="53"/>
      <c r="S16" s="53"/>
      <c r="T16" s="53"/>
      <c r="U16" s="68" t="str">
        <f t="shared" si="6"/>
        <v/>
      </c>
      <c r="V16" s="53"/>
      <c r="W16" s="68" t="str">
        <f t="shared" si="3"/>
        <v/>
      </c>
      <c r="X16" s="53"/>
      <c r="Y16" s="53"/>
      <c r="Z16" s="53"/>
      <c r="AA16" s="68" t="str">
        <f>IF($Z16="","",VLOOKUP($Z16,捏造NPC!$J$27:$L$57,3,FALSE))</f>
        <v/>
      </c>
      <c r="AB16" s="53"/>
      <c r="AC16" s="68" t="str">
        <f>IF($AB16="","",VLOOKUP($AB16,捏造NPC!$J$27:$L$57,3,FALSE))</f>
        <v/>
      </c>
      <c r="AD16" s="53"/>
      <c r="AE16" s="68" t="str">
        <f>IF($AD16="","",VLOOKUP($AD16,捏造NPC!$J$27:$L$57,3,FALSE))</f>
        <v/>
      </c>
      <c r="AI16" s="73" t="str" cm="1">
        <f t="array" ref="AI16">IF(NpcDialog!$A16="","",_xlfn.TEXTJOIN("、",TRUE,IF($Z$5:$AC$25=NpcDialog!$A16,发布任务!$A$5:$A$24,"")))</f>
        <v/>
      </c>
      <c r="AJ16" s="73" t="str" cm="1">
        <f t="array" ref="AJ16">IF(AI16="","",_xlfn.TEXTSPLIT(AI16,"、"))</f>
        <v/>
      </c>
      <c r="AK16" s="73"/>
      <c r="AL16" s="73"/>
      <c r="AM16" s="73"/>
      <c r="AN16" s="73"/>
      <c r="AO16" s="73"/>
      <c r="AP16" s="73"/>
      <c r="AQ16" s="73"/>
      <c r="AR16" s="73"/>
    </row>
    <row r="17" s="56" customFormat="1" spans="1:44">
      <c r="A17" s="60" t="str">
        <f t="shared" si="7"/>
        <v/>
      </c>
      <c r="B17" s="53"/>
      <c r="C17" s="53"/>
      <c r="D17" s="53"/>
      <c r="E17" s="53"/>
      <c r="F17" s="53"/>
      <c r="G17" s="53"/>
      <c r="H17" s="53"/>
      <c r="I17" s="53"/>
      <c r="J17" s="67">
        <f t="shared" si="4"/>
        <v>0</v>
      </c>
      <c r="K17" s="53"/>
      <c r="L17" s="67">
        <f t="shared" si="5"/>
        <v>0</v>
      </c>
      <c r="M17" s="53"/>
      <c r="N17" s="68" t="str">
        <f t="shared" si="1"/>
        <v/>
      </c>
      <c r="O17" s="53"/>
      <c r="P17" s="68" t="str">
        <f t="shared" si="2"/>
        <v/>
      </c>
      <c r="Q17" s="53"/>
      <c r="R17" s="53"/>
      <c r="S17" s="53"/>
      <c r="T17" s="53"/>
      <c r="U17" s="68" t="str">
        <f t="shared" si="6"/>
        <v/>
      </c>
      <c r="V17" s="53"/>
      <c r="W17" s="68" t="str">
        <f t="shared" si="3"/>
        <v/>
      </c>
      <c r="X17" s="53"/>
      <c r="Y17" s="53"/>
      <c r="Z17" s="53"/>
      <c r="AA17" s="68" t="str">
        <f>IF($Z17="","",VLOOKUP($Z17,捏造NPC!$J$27:$L$57,3,FALSE))</f>
        <v/>
      </c>
      <c r="AB17" s="53"/>
      <c r="AC17" s="68" t="str">
        <f>IF($AB17="","",VLOOKUP($AB17,捏造NPC!$J$27:$L$57,3,FALSE))</f>
        <v/>
      </c>
      <c r="AD17" s="53"/>
      <c r="AE17" s="68" t="str">
        <f>IF($AD17="","",VLOOKUP($AD17,捏造NPC!$J$27:$L$57,3,FALSE))</f>
        <v/>
      </c>
      <c r="AI17" s="73" t="str" cm="1">
        <f t="array" ref="AI17">IF(NpcDialog!$A17="","",_xlfn.TEXTJOIN("、",TRUE,IF($Z$5:$AC$25=NpcDialog!$A17,发布任务!$A$5:$A$24,"")))</f>
        <v/>
      </c>
      <c r="AJ17" s="73" t="str" cm="1">
        <f t="array" ref="AJ17">IF(AI17="","",_xlfn.TEXTSPLIT(AI17,"、"))</f>
        <v/>
      </c>
      <c r="AK17" s="73"/>
      <c r="AL17" s="73"/>
      <c r="AM17" s="73"/>
      <c r="AN17" s="73"/>
      <c r="AO17" s="73"/>
      <c r="AP17" s="73"/>
      <c r="AQ17" s="73"/>
      <c r="AR17" s="73"/>
    </row>
    <row r="18" s="56" customFormat="1" spans="1:44">
      <c r="A18" s="62" t="str">
        <f t="shared" si="7"/>
        <v/>
      </c>
      <c r="B18" s="53"/>
      <c r="C18" s="53"/>
      <c r="D18" s="53"/>
      <c r="E18" s="53"/>
      <c r="F18" s="53"/>
      <c r="G18" s="53"/>
      <c r="H18" s="53"/>
      <c r="I18" s="53"/>
      <c r="J18" s="67">
        <f t="shared" si="4"/>
        <v>0</v>
      </c>
      <c r="K18" s="53"/>
      <c r="L18" s="67">
        <f t="shared" si="5"/>
        <v>0</v>
      </c>
      <c r="M18" s="53"/>
      <c r="N18" s="68" t="str">
        <f t="shared" si="1"/>
        <v/>
      </c>
      <c r="O18" s="53"/>
      <c r="P18" s="68" t="str">
        <f t="shared" si="2"/>
        <v/>
      </c>
      <c r="Q18" s="53"/>
      <c r="R18" s="53"/>
      <c r="S18" s="53"/>
      <c r="T18" s="53"/>
      <c r="U18" s="68" t="str">
        <f t="shared" si="6"/>
        <v/>
      </c>
      <c r="V18" s="53"/>
      <c r="W18" s="68" t="str">
        <f t="shared" si="3"/>
        <v/>
      </c>
      <c r="X18" s="53"/>
      <c r="Y18" s="53"/>
      <c r="Z18" s="53"/>
      <c r="AA18" s="68" t="str">
        <f>IF($Z18="","",VLOOKUP($Z18,捏造NPC!$J$27:$L$57,3,FALSE))</f>
        <v/>
      </c>
      <c r="AB18" s="53"/>
      <c r="AC18" s="68" t="str">
        <f>IF($AB18="","",VLOOKUP($AB18,捏造NPC!$J$27:$L$57,3,FALSE))</f>
        <v/>
      </c>
      <c r="AD18" s="53"/>
      <c r="AE18" s="68" t="str">
        <f>IF($AD18="","",VLOOKUP($AD18,捏造NPC!$J$27:$L$57,3,FALSE))</f>
        <v/>
      </c>
      <c r="AI18" s="73" t="str" cm="1">
        <f t="array" ref="AI18">IF(NpcDialog!$A18="","",_xlfn.TEXTJOIN("、",TRUE,IF($Z$5:$AC$25=NpcDialog!$A18,发布任务!$A$5:$A$24,"")))</f>
        <v/>
      </c>
      <c r="AJ18" s="73" t="str" cm="1">
        <f t="array" ref="AJ18">IF(AI18="","",_xlfn.TEXTSPLIT(AI18,"、"))</f>
        <v/>
      </c>
      <c r="AK18" s="73"/>
      <c r="AL18" s="73"/>
      <c r="AM18" s="73"/>
      <c r="AN18" s="73"/>
      <c r="AO18" s="73"/>
      <c r="AP18" s="73"/>
      <c r="AQ18" s="73"/>
      <c r="AR18" s="73"/>
    </row>
    <row r="19" s="56" customFormat="1" spans="1:44">
      <c r="A19" s="62" t="str">
        <f t="shared" si="7"/>
        <v/>
      </c>
      <c r="B19" s="53"/>
      <c r="C19" s="53"/>
      <c r="D19" s="53"/>
      <c r="E19" s="53"/>
      <c r="F19" s="53"/>
      <c r="G19" s="53"/>
      <c r="H19" s="53"/>
      <c r="I19" s="53"/>
      <c r="J19" s="67">
        <f t="shared" si="4"/>
        <v>0</v>
      </c>
      <c r="K19" s="53"/>
      <c r="L19" s="67">
        <f t="shared" si="5"/>
        <v>0</v>
      </c>
      <c r="M19" s="53"/>
      <c r="N19" s="68" t="str">
        <f t="shared" si="1"/>
        <v/>
      </c>
      <c r="O19" s="53"/>
      <c r="P19" s="68" t="str">
        <f t="shared" si="2"/>
        <v/>
      </c>
      <c r="Q19" s="53"/>
      <c r="R19" s="53"/>
      <c r="S19" s="53"/>
      <c r="T19" s="53"/>
      <c r="U19" s="68" t="str">
        <f t="shared" si="6"/>
        <v/>
      </c>
      <c r="V19" s="53"/>
      <c r="W19" s="68" t="str">
        <f t="shared" si="3"/>
        <v/>
      </c>
      <c r="X19" s="53"/>
      <c r="Y19" s="53"/>
      <c r="Z19" s="53"/>
      <c r="AA19" s="68" t="str">
        <f>IF($Z19="","",VLOOKUP($Z19,捏造NPC!$J$27:$L$57,3,FALSE))</f>
        <v/>
      </c>
      <c r="AB19" s="53"/>
      <c r="AC19" s="68" t="str">
        <f>IF($AB19="","",VLOOKUP($AB19,捏造NPC!$J$27:$L$57,3,FALSE))</f>
        <v/>
      </c>
      <c r="AD19" s="53"/>
      <c r="AE19" s="68" t="str">
        <f>IF($AD19="","",VLOOKUP($AD19,捏造NPC!$J$27:$L$57,3,FALSE))</f>
        <v/>
      </c>
      <c r="AI19" s="73" t="str" cm="1">
        <f t="array" ref="AI19">IF(NpcDialog!$A19="","",_xlfn.TEXTJOIN("、",TRUE,IF($Z$5:$AC$25=NpcDialog!$A19,发布任务!$A$5:$A$24,"")))</f>
        <v/>
      </c>
      <c r="AJ19" s="73" t="str" cm="1">
        <f t="array" ref="AJ19">IF(AI19="","",_xlfn.TEXTSPLIT(AI19,"、"))</f>
        <v/>
      </c>
      <c r="AK19" s="73"/>
      <c r="AL19" s="73"/>
      <c r="AM19" s="73"/>
      <c r="AN19" s="73"/>
      <c r="AO19" s="73"/>
      <c r="AP19" s="73"/>
      <c r="AQ19" s="73"/>
      <c r="AR19" s="73"/>
    </row>
    <row r="20" s="56" customFormat="1" spans="1:44">
      <c r="A20" s="63" t="str">
        <f t="shared" si="7"/>
        <v/>
      </c>
      <c r="B20" s="53"/>
      <c r="C20" s="53"/>
      <c r="D20" s="53"/>
      <c r="E20" s="53"/>
      <c r="F20" s="53"/>
      <c r="G20" s="53"/>
      <c r="H20" s="53"/>
      <c r="I20" s="53"/>
      <c r="J20" s="67">
        <f t="shared" si="4"/>
        <v>0</v>
      </c>
      <c r="K20" s="53"/>
      <c r="L20" s="67">
        <f t="shared" si="5"/>
        <v>0</v>
      </c>
      <c r="M20" s="53"/>
      <c r="N20" s="68" t="str">
        <f t="shared" si="1"/>
        <v/>
      </c>
      <c r="O20" s="53"/>
      <c r="P20" s="68" t="str">
        <f t="shared" si="2"/>
        <v/>
      </c>
      <c r="Q20" s="53"/>
      <c r="R20" s="53"/>
      <c r="S20" s="53"/>
      <c r="T20" s="53"/>
      <c r="U20" s="68" t="str">
        <f t="shared" si="6"/>
        <v/>
      </c>
      <c r="V20" s="53"/>
      <c r="W20" s="68" t="str">
        <f t="shared" si="3"/>
        <v/>
      </c>
      <c r="X20" s="53"/>
      <c r="Y20" s="53"/>
      <c r="Z20" s="53"/>
      <c r="AA20" s="68" t="str">
        <f>IF($Z20="","",VLOOKUP($Z20,捏造NPC!$J$27:$L$57,3,FALSE))</f>
        <v/>
      </c>
      <c r="AB20" s="53"/>
      <c r="AC20" s="68" t="str">
        <f>IF($AB20="","",VLOOKUP($AB20,捏造NPC!$J$27:$L$57,3,FALSE))</f>
        <v/>
      </c>
      <c r="AD20" s="53"/>
      <c r="AE20" s="68" t="str">
        <f>IF($AD20="","",VLOOKUP($AD20,捏造NPC!$J$27:$L$57,3,FALSE))</f>
        <v/>
      </c>
      <c r="AI20" s="73" t="str" cm="1">
        <f t="array" ref="AI20">IF(NpcDialog!$A20="","",_xlfn.TEXTJOIN("、",TRUE,IF($Z$5:$AC$25=NpcDialog!$A20,发布任务!$A$5:$A$24,"")))</f>
        <v/>
      </c>
      <c r="AJ20" s="73" t="str" cm="1">
        <f t="array" ref="AJ20">IF(AI20="","",_xlfn.TEXTSPLIT(AI20,"、"))</f>
        <v/>
      </c>
      <c r="AK20" s="73"/>
      <c r="AL20" s="73"/>
      <c r="AM20" s="73"/>
      <c r="AN20" s="73"/>
      <c r="AO20" s="73"/>
      <c r="AP20" s="73"/>
      <c r="AQ20" s="73"/>
      <c r="AR20" s="73"/>
    </row>
    <row r="21" s="56" customFormat="1" spans="1:44">
      <c r="A21" s="60" t="str">
        <f t="shared" si="7"/>
        <v/>
      </c>
      <c r="B21" s="53"/>
      <c r="C21" s="53"/>
      <c r="D21" s="53"/>
      <c r="E21" s="53"/>
      <c r="F21" s="53"/>
      <c r="G21" s="53"/>
      <c r="H21" s="53"/>
      <c r="I21" s="53"/>
      <c r="J21" s="67">
        <f t="shared" si="4"/>
        <v>0</v>
      </c>
      <c r="K21" s="53"/>
      <c r="L21" s="67">
        <f t="shared" si="5"/>
        <v>0</v>
      </c>
      <c r="M21" s="53"/>
      <c r="N21" s="68" t="str">
        <f t="shared" si="1"/>
        <v/>
      </c>
      <c r="O21" s="53"/>
      <c r="P21" s="68" t="str">
        <f t="shared" si="2"/>
        <v/>
      </c>
      <c r="Q21" s="53"/>
      <c r="R21" s="53"/>
      <c r="S21" s="53"/>
      <c r="T21" s="53"/>
      <c r="U21" s="68" t="str">
        <f t="shared" si="6"/>
        <v/>
      </c>
      <c r="V21" s="53"/>
      <c r="W21" s="68" t="str">
        <f t="shared" si="3"/>
        <v/>
      </c>
      <c r="X21" s="53"/>
      <c r="Y21" s="53"/>
      <c r="Z21" s="53"/>
      <c r="AA21" s="68" t="str">
        <f>IF($Z21="","",VLOOKUP($Z21,捏造NPC!$J$27:$L$57,3,FALSE))</f>
        <v/>
      </c>
      <c r="AB21" s="53"/>
      <c r="AC21" s="68" t="str">
        <f>IF($AB21="","",VLOOKUP($AB21,捏造NPC!$J$27:$L$57,3,FALSE))</f>
        <v/>
      </c>
      <c r="AD21" s="53"/>
      <c r="AE21" s="68" t="str">
        <f>IF($AD21="","",VLOOKUP($AD21,捏造NPC!$J$27:$L$57,3,FALSE))</f>
        <v/>
      </c>
      <c r="AI21" s="73" t="str" cm="1">
        <f t="array" ref="AI21">IF(NpcDialog!$A21="","",_xlfn.TEXTJOIN("、",TRUE,IF($Z$5:$AC$25=NpcDialog!$A21,发布任务!$A$5:$A$24,"")))</f>
        <v/>
      </c>
      <c r="AJ21" s="73" t="str" cm="1">
        <f t="array" ref="AJ21">IF(AI21="","",_xlfn.TEXTSPLIT(AI21,"、"))</f>
        <v/>
      </c>
      <c r="AK21" s="73"/>
      <c r="AL21" s="73"/>
      <c r="AM21" s="73"/>
      <c r="AN21" s="73"/>
      <c r="AO21" s="73"/>
      <c r="AP21" s="73"/>
      <c r="AQ21" s="73"/>
      <c r="AR21" s="73"/>
    </row>
    <row r="22" s="56" customFormat="1" spans="1:44">
      <c r="A22" s="63" t="str">
        <f t="shared" si="7"/>
        <v/>
      </c>
      <c r="B22" s="53"/>
      <c r="C22" s="53"/>
      <c r="D22" s="53"/>
      <c r="E22" s="53"/>
      <c r="F22" s="53"/>
      <c r="G22" s="53"/>
      <c r="H22" s="53"/>
      <c r="I22" s="53"/>
      <c r="J22" s="67">
        <f t="shared" si="4"/>
        <v>0</v>
      </c>
      <c r="K22" s="53"/>
      <c r="L22" s="67">
        <f t="shared" si="5"/>
        <v>0</v>
      </c>
      <c r="M22" s="53"/>
      <c r="N22" s="68" t="str">
        <f t="shared" si="1"/>
        <v/>
      </c>
      <c r="O22" s="53"/>
      <c r="P22" s="68" t="str">
        <f t="shared" si="2"/>
        <v/>
      </c>
      <c r="Q22" s="53"/>
      <c r="R22" s="53"/>
      <c r="S22" s="53"/>
      <c r="T22" s="53"/>
      <c r="U22" s="68" t="str">
        <f t="shared" si="6"/>
        <v/>
      </c>
      <c r="V22" s="53"/>
      <c r="W22" s="68" t="str">
        <f t="shared" si="3"/>
        <v/>
      </c>
      <c r="X22" s="53"/>
      <c r="Y22" s="53"/>
      <c r="Z22" s="53"/>
      <c r="AA22" s="68" t="str">
        <f>IF($Z22="","",VLOOKUP($Z22,捏造NPC!$J$27:$L$57,3,FALSE))</f>
        <v/>
      </c>
      <c r="AB22" s="53"/>
      <c r="AC22" s="68" t="str">
        <f>IF($AB22="","",VLOOKUP($AB22,捏造NPC!$J$27:$L$57,3,FALSE))</f>
        <v/>
      </c>
      <c r="AD22" s="53"/>
      <c r="AE22" s="68" t="str">
        <f>IF($AD22="","",VLOOKUP($AD22,捏造NPC!$J$27:$L$57,3,FALSE))</f>
        <v/>
      </c>
      <c r="AI22" s="73" t="str" cm="1">
        <f t="array" ref="AI22">IF(NpcDialog!$A22="","",_xlfn.TEXTJOIN("、",TRUE,IF($Z$5:$AC$25=NpcDialog!$A22,发布任务!$A$5:$A$24,"")))</f>
        <v/>
      </c>
      <c r="AJ22" s="73" t="str" cm="1">
        <f t="array" ref="AJ22">IF(AI22="","",_xlfn.TEXTSPLIT(AI22,"、"))</f>
        <v/>
      </c>
      <c r="AK22" s="73"/>
      <c r="AL22" s="73"/>
      <c r="AM22" s="73"/>
      <c r="AN22" s="73"/>
      <c r="AO22" s="73"/>
      <c r="AP22" s="73"/>
      <c r="AQ22" s="73"/>
      <c r="AR22" s="73"/>
    </row>
    <row r="23" s="56" customFormat="1" spans="1:44">
      <c r="A23" s="60" t="str">
        <f t="shared" si="7"/>
        <v/>
      </c>
      <c r="B23" s="53"/>
      <c r="C23" s="53"/>
      <c r="D23" s="53"/>
      <c r="E23" s="53"/>
      <c r="F23" s="53"/>
      <c r="G23" s="53"/>
      <c r="H23" s="53"/>
      <c r="I23" s="53"/>
      <c r="J23" s="67">
        <f t="shared" si="4"/>
        <v>0</v>
      </c>
      <c r="K23" s="53"/>
      <c r="L23" s="67">
        <f t="shared" si="5"/>
        <v>0</v>
      </c>
      <c r="M23" s="53"/>
      <c r="N23" s="68" t="str">
        <f t="shared" si="1"/>
        <v/>
      </c>
      <c r="O23" s="53"/>
      <c r="P23" s="68" t="str">
        <f t="shared" si="2"/>
        <v/>
      </c>
      <c r="Q23" s="53"/>
      <c r="R23" s="53"/>
      <c r="S23" s="53"/>
      <c r="T23" s="53"/>
      <c r="U23" s="68" t="str">
        <f t="shared" si="6"/>
        <v/>
      </c>
      <c r="V23" s="53"/>
      <c r="W23" s="68" t="str">
        <f t="shared" si="3"/>
        <v/>
      </c>
      <c r="X23" s="53"/>
      <c r="Y23" s="53"/>
      <c r="Z23" s="53"/>
      <c r="AA23" s="68" t="str">
        <f>IF($Z23="","",VLOOKUP($Z23,捏造NPC!$J$27:$L$57,3,FALSE))</f>
        <v/>
      </c>
      <c r="AB23" s="53"/>
      <c r="AC23" s="68" t="str">
        <f>IF($AB23="","",VLOOKUP($AB23,捏造NPC!$J$27:$L$57,3,FALSE))</f>
        <v/>
      </c>
      <c r="AD23" s="53"/>
      <c r="AE23" s="68" t="str">
        <f>IF($AD23="","",VLOOKUP($AD23,捏造NPC!$J$27:$L$57,3,FALSE))</f>
        <v/>
      </c>
      <c r="AI23" s="73" t="str" cm="1">
        <f t="array" ref="AI23">IF(NpcDialog!$A23="","",_xlfn.TEXTJOIN("、",TRUE,IF($Z$5:$AC$25=NpcDialog!$A23,发布任务!$A$5:$A$24,"")))</f>
        <v/>
      </c>
      <c r="AJ23" s="73" t="str" cm="1">
        <f t="array" ref="AJ23">IF(AI23="","",_xlfn.TEXTSPLIT(AI23,"、"))</f>
        <v/>
      </c>
      <c r="AK23" s="73"/>
      <c r="AL23" s="73"/>
      <c r="AM23" s="73"/>
      <c r="AN23" s="73"/>
      <c r="AO23" s="73"/>
      <c r="AP23" s="73"/>
      <c r="AQ23" s="73"/>
      <c r="AR23" s="73"/>
    </row>
    <row r="24" s="56" customFormat="1" spans="1:44">
      <c r="A24" s="62" t="str">
        <f t="shared" si="7"/>
        <v/>
      </c>
      <c r="B24" s="53"/>
      <c r="C24" s="53"/>
      <c r="D24" s="53"/>
      <c r="E24" s="53"/>
      <c r="F24" s="53"/>
      <c r="G24" s="53"/>
      <c r="H24" s="53"/>
      <c r="I24" s="53"/>
      <c r="J24" s="67">
        <f t="shared" si="4"/>
        <v>0</v>
      </c>
      <c r="K24" s="53"/>
      <c r="L24" s="67">
        <f t="shared" si="5"/>
        <v>0</v>
      </c>
      <c r="M24" s="53"/>
      <c r="N24" s="68" t="str">
        <f t="shared" si="1"/>
        <v/>
      </c>
      <c r="O24" s="53"/>
      <c r="P24" s="68" t="str">
        <f t="shared" si="2"/>
        <v/>
      </c>
      <c r="Q24" s="53"/>
      <c r="R24" s="53"/>
      <c r="S24" s="53"/>
      <c r="T24" s="53"/>
      <c r="U24" s="68" t="str">
        <f t="shared" si="6"/>
        <v/>
      </c>
      <c r="V24" s="53"/>
      <c r="W24" s="68" t="str">
        <f t="shared" si="3"/>
        <v/>
      </c>
      <c r="X24" s="53"/>
      <c r="Y24" s="53"/>
      <c r="Z24" s="53"/>
      <c r="AA24" s="68" t="str">
        <f>IF($Z24="","",VLOOKUP($Z24,捏造NPC!$J$27:$L$57,3,FALSE))</f>
        <v/>
      </c>
      <c r="AB24" s="53"/>
      <c r="AC24" s="68" t="str">
        <f>IF($AB24="","",VLOOKUP($AB24,捏造NPC!$J$27:$L$57,3,FALSE))</f>
        <v/>
      </c>
      <c r="AD24" s="53"/>
      <c r="AE24" s="68" t="str">
        <f>IF($AD24="","",VLOOKUP($AD24,捏造NPC!$J$27:$L$57,3,FALSE))</f>
        <v/>
      </c>
      <c r="AI24" s="73" t="str" cm="1">
        <f t="array" ref="AI24">IF(NpcDialog!$A24="","",_xlfn.TEXTJOIN("、",TRUE,IF($Z$5:$AC$25=NpcDialog!$A24,发布任务!$A$5:$A$24,"")))</f>
        <v/>
      </c>
      <c r="AJ24" s="73" t="str" cm="1">
        <f t="array" ref="AJ24">IF(AI24="","",_xlfn.TEXTSPLIT(AI24,"、"))</f>
        <v/>
      </c>
      <c r="AK24" s="73"/>
      <c r="AL24" s="73"/>
      <c r="AM24" s="73"/>
      <c r="AN24" s="73"/>
      <c r="AO24" s="73"/>
      <c r="AP24" s="73"/>
      <c r="AQ24" s="73"/>
      <c r="AR24" s="73"/>
    </row>
    <row r="25" spans="1:27">
      <c r="A25" s="66" t="s">
        <v>48</v>
      </c>
      <c r="C25" s="8" t="s">
        <v>49</v>
      </c>
      <c r="E25" s="13">
        <v>2</v>
      </c>
      <c r="F25" s="8" t="s">
        <v>3</v>
      </c>
      <c r="G25" s="13">
        <v>350</v>
      </c>
      <c r="H25" s="10"/>
      <c r="Z25" s="72"/>
      <c r="AA25" s="72"/>
    </row>
    <row r="26" spans="1:1">
      <c r="A26" s="38" t="s">
        <v>50</v>
      </c>
    </row>
    <row r="27" s="57" customFormat="1" spans="1:31">
      <c r="A27" s="15" t="s">
        <v>51</v>
      </c>
      <c r="B27" s="15" t="s">
        <v>52</v>
      </c>
      <c r="C27" s="15" t="s">
        <v>53</v>
      </c>
      <c r="D27" s="15"/>
      <c r="E27" s="15" t="s">
        <v>54</v>
      </c>
      <c r="F27" s="15" t="s">
        <v>55</v>
      </c>
      <c r="G27" s="15" t="s">
        <v>56</v>
      </c>
      <c r="H27" s="15"/>
      <c r="I27" s="15" t="s">
        <v>57</v>
      </c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</row>
    <row r="28" spans="1:10">
      <c r="A28" s="16">
        <f>IF(ROW()-28&lt;$E$25,ROW()-28+$G$25,"")</f>
        <v>350</v>
      </c>
      <c r="B28" s="13">
        <v>5</v>
      </c>
      <c r="C28" s="13" t="s">
        <v>58</v>
      </c>
      <c r="D28" s="48">
        <f t="shared" ref="D28:D40" si="8">IF(C28="手动点击",0,IF(C28="任务接取",1,IF(C28="任务完成",2,"")))</f>
        <v>0</v>
      </c>
      <c r="E28" s="53" t="s">
        <v>27</v>
      </c>
      <c r="F28" s="13">
        <v>8124</v>
      </c>
      <c r="G28" s="13" t="s">
        <v>59</v>
      </c>
      <c r="H28" s="48" t="str">
        <f>IF(G28="瑶花","NewbieGuide_NpcIcon",IF(G28="夏风","xinshouyindao_img_xiafeng",IF(G28="钟年","xinshouyindao_img_zhongnian",IF(G28="浣浣","dimaiyaoyu_img_yindao",IF(G28="镜灵","huanlingjing_img_NPC","")))))</f>
        <v>NewbieGuide_NpcIcon</v>
      </c>
      <c r="I28" s="13" t="s">
        <v>34</v>
      </c>
      <c r="J28" s="48">
        <f>IF(I28="是",1,IF(I28="否",0,""))</f>
        <v>1</v>
      </c>
    </row>
    <row r="29" spans="1:10">
      <c r="A29" s="16">
        <f t="shared" ref="A29:A38" si="9">IF(ROW()-28&lt;$E$25,ROW()-28+$G$25,"")</f>
        <v>351</v>
      </c>
      <c r="B29" s="13">
        <v>7</v>
      </c>
      <c r="C29" s="13" t="s">
        <v>58</v>
      </c>
      <c r="D29" s="48">
        <f t="shared" si="8"/>
        <v>0</v>
      </c>
      <c r="E29" s="53" t="s">
        <v>39</v>
      </c>
      <c r="F29" s="13">
        <v>8125</v>
      </c>
      <c r="G29" s="13" t="s">
        <v>60</v>
      </c>
      <c r="H29" s="48" t="str">
        <f t="shared" ref="H29:H47" si="10">IF(G29="瑶花","NewbieGuide_NpcIcon",IF(G29="夏风","xinshouyindao_img_xiafeng",IF(G29="钟年","xinshouyindao_img_zhongnian",IF(G29="浣浣","dimaiyaoyu_img_yindao",IF(G29="镜灵","huanlingjing_img_NPC","")))))</f>
        <v>xinshouyindao_img_xiafeng</v>
      </c>
      <c r="I29" s="13" t="s">
        <v>34</v>
      </c>
      <c r="J29" s="48">
        <f t="shared" ref="J29:J47" si="11">IF(I29="是",1,IF(I29="否",0,""))</f>
        <v>1</v>
      </c>
    </row>
    <row r="30" spans="1:10">
      <c r="A30" s="16" t="str">
        <f t="shared" si="9"/>
        <v/>
      </c>
      <c r="B30" s="13"/>
      <c r="C30" s="13"/>
      <c r="D30" s="48" t="str">
        <f t="shared" si="8"/>
        <v/>
      </c>
      <c r="E30" s="14"/>
      <c r="F30" s="13"/>
      <c r="G30" s="13"/>
      <c r="H30" s="48" t="str">
        <f t="shared" si="10"/>
        <v/>
      </c>
      <c r="I30" s="13"/>
      <c r="J30" s="48" t="str">
        <f t="shared" si="11"/>
        <v/>
      </c>
    </row>
    <row r="31" spans="1:10">
      <c r="A31" s="16" t="str">
        <f t="shared" si="9"/>
        <v/>
      </c>
      <c r="B31" s="13"/>
      <c r="C31" s="13"/>
      <c r="D31" s="48" t="str">
        <f t="shared" si="8"/>
        <v/>
      </c>
      <c r="E31" s="14"/>
      <c r="F31" s="13"/>
      <c r="G31" s="13"/>
      <c r="H31" s="48" t="str">
        <f t="shared" si="10"/>
        <v/>
      </c>
      <c r="I31" s="13"/>
      <c r="J31" s="48" t="str">
        <f t="shared" si="11"/>
        <v/>
      </c>
    </row>
    <row r="32" spans="1:10">
      <c r="A32" s="16" t="str">
        <f t="shared" si="9"/>
        <v/>
      </c>
      <c r="B32" s="13"/>
      <c r="C32" s="13"/>
      <c r="D32" s="48" t="str">
        <f t="shared" si="8"/>
        <v/>
      </c>
      <c r="E32" s="14"/>
      <c r="F32" s="13"/>
      <c r="G32" s="13"/>
      <c r="H32" s="48" t="str">
        <f t="shared" si="10"/>
        <v/>
      </c>
      <c r="I32" s="13"/>
      <c r="J32" s="48" t="str">
        <f t="shared" si="11"/>
        <v/>
      </c>
    </row>
    <row r="33" spans="1:10">
      <c r="A33" s="16" t="str">
        <f t="shared" si="9"/>
        <v/>
      </c>
      <c r="B33" s="13"/>
      <c r="C33" s="13"/>
      <c r="D33" s="48" t="str">
        <f t="shared" si="8"/>
        <v/>
      </c>
      <c r="E33" s="14"/>
      <c r="F33" s="13"/>
      <c r="G33" s="13"/>
      <c r="H33" s="48" t="str">
        <f t="shared" si="10"/>
        <v/>
      </c>
      <c r="I33" s="13"/>
      <c r="J33" s="48" t="str">
        <f t="shared" si="11"/>
        <v/>
      </c>
    </row>
    <row r="34" spans="1:10">
      <c r="A34" s="16" t="str">
        <f t="shared" si="9"/>
        <v/>
      </c>
      <c r="B34" s="13"/>
      <c r="C34" s="13"/>
      <c r="D34" s="48" t="str">
        <f t="shared" si="8"/>
        <v/>
      </c>
      <c r="E34" s="14"/>
      <c r="F34" s="13"/>
      <c r="G34" s="13"/>
      <c r="H34" s="48" t="str">
        <f t="shared" si="10"/>
        <v/>
      </c>
      <c r="I34" s="13"/>
      <c r="J34" s="48" t="str">
        <f t="shared" si="11"/>
        <v/>
      </c>
    </row>
    <row r="35" spans="1:10">
      <c r="A35" s="16" t="str">
        <f t="shared" si="9"/>
        <v/>
      </c>
      <c r="B35" s="13"/>
      <c r="C35" s="13"/>
      <c r="D35" s="48" t="str">
        <f t="shared" si="8"/>
        <v/>
      </c>
      <c r="E35" s="14"/>
      <c r="F35" s="13"/>
      <c r="G35" s="13"/>
      <c r="H35" s="48" t="str">
        <f t="shared" si="10"/>
        <v/>
      </c>
      <c r="I35" s="13"/>
      <c r="J35" s="48" t="str">
        <f t="shared" si="11"/>
        <v/>
      </c>
    </row>
    <row r="36" spans="1:10">
      <c r="A36" s="16" t="str">
        <f t="shared" si="9"/>
        <v/>
      </c>
      <c r="B36" s="13"/>
      <c r="C36" s="13"/>
      <c r="D36" s="48" t="str">
        <f t="shared" si="8"/>
        <v/>
      </c>
      <c r="E36" s="14"/>
      <c r="F36" s="13"/>
      <c r="G36" s="13"/>
      <c r="H36" s="48" t="str">
        <f t="shared" si="10"/>
        <v/>
      </c>
      <c r="I36" s="13"/>
      <c r="J36" s="48" t="str">
        <f t="shared" si="11"/>
        <v/>
      </c>
    </row>
    <row r="37" spans="1:10">
      <c r="A37" s="16" t="str">
        <f t="shared" si="9"/>
        <v/>
      </c>
      <c r="B37" s="13"/>
      <c r="C37" s="13"/>
      <c r="D37" s="48" t="str">
        <f t="shared" si="8"/>
        <v/>
      </c>
      <c r="E37" s="14"/>
      <c r="F37" s="13"/>
      <c r="G37" s="13"/>
      <c r="H37" s="48" t="str">
        <f t="shared" si="10"/>
        <v/>
      </c>
      <c r="I37" s="13"/>
      <c r="J37" s="48" t="str">
        <f t="shared" si="11"/>
        <v/>
      </c>
    </row>
    <row r="38" spans="1:10">
      <c r="A38" s="37" t="str">
        <f t="shared" si="9"/>
        <v/>
      </c>
      <c r="B38" s="14"/>
      <c r="C38" s="13"/>
      <c r="D38" s="48" t="str">
        <f t="shared" si="8"/>
        <v/>
      </c>
      <c r="E38" s="14"/>
      <c r="F38" s="13"/>
      <c r="G38" s="14"/>
      <c r="H38" s="48" t="str">
        <f t="shared" si="10"/>
        <v/>
      </c>
      <c r="I38" s="13"/>
      <c r="J38" s="48" t="str">
        <f t="shared" si="11"/>
        <v/>
      </c>
    </row>
    <row r="39" spans="1:10">
      <c r="A39" s="37" t="str">
        <f t="shared" ref="A39:A47" si="12">IF(ROW()-28&lt;$E$25,ROW()-28+$G$25,"")</f>
        <v/>
      </c>
      <c r="B39" s="14"/>
      <c r="C39" s="13"/>
      <c r="D39" s="48" t="str">
        <f t="shared" si="8"/>
        <v/>
      </c>
      <c r="E39" s="14"/>
      <c r="F39" s="13"/>
      <c r="G39" s="14"/>
      <c r="H39" s="48" t="str">
        <f t="shared" si="10"/>
        <v/>
      </c>
      <c r="I39" s="13"/>
      <c r="J39" s="48" t="str">
        <f t="shared" si="11"/>
        <v/>
      </c>
    </row>
    <row r="40" spans="1:10">
      <c r="A40" s="37" t="str">
        <f t="shared" si="12"/>
        <v/>
      </c>
      <c r="B40" s="14"/>
      <c r="C40" s="13"/>
      <c r="D40" s="48" t="str">
        <f t="shared" si="8"/>
        <v/>
      </c>
      <c r="E40" s="14"/>
      <c r="F40" s="13"/>
      <c r="G40" s="14"/>
      <c r="H40" s="48" t="str">
        <f t="shared" si="10"/>
        <v/>
      </c>
      <c r="I40" s="13"/>
      <c r="J40" s="48" t="str">
        <f t="shared" si="11"/>
        <v/>
      </c>
    </row>
    <row r="41" spans="1:10">
      <c r="A41" s="37" t="str">
        <f t="shared" si="12"/>
        <v/>
      </c>
      <c r="B41" s="14"/>
      <c r="C41" s="13"/>
      <c r="D41" s="48" t="str">
        <f t="shared" ref="D41:D47" si="13">IF(C41="手动点击",0,IF(C41="任务接取",1,IF(C41="任务完成",2,"")))</f>
        <v/>
      </c>
      <c r="E41" s="14"/>
      <c r="F41" s="13"/>
      <c r="G41" s="14"/>
      <c r="H41" s="48" t="str">
        <f t="shared" si="10"/>
        <v/>
      </c>
      <c r="I41" s="13"/>
      <c r="J41" s="48" t="str">
        <f t="shared" si="11"/>
        <v/>
      </c>
    </row>
    <row r="42" spans="1:10">
      <c r="A42" s="37" t="str">
        <f t="shared" si="12"/>
        <v/>
      </c>
      <c r="B42" s="14"/>
      <c r="C42" s="13"/>
      <c r="D42" s="48" t="str">
        <f t="shared" si="13"/>
        <v/>
      </c>
      <c r="E42" s="14"/>
      <c r="F42" s="13"/>
      <c r="G42" s="14"/>
      <c r="H42" s="48" t="str">
        <f t="shared" si="10"/>
        <v/>
      </c>
      <c r="I42" s="13"/>
      <c r="J42" s="48" t="str">
        <f t="shared" si="11"/>
        <v/>
      </c>
    </row>
    <row r="43" spans="1:10">
      <c r="A43" s="37" t="str">
        <f t="shared" si="12"/>
        <v/>
      </c>
      <c r="B43" s="14"/>
      <c r="C43" s="13"/>
      <c r="D43" s="48" t="str">
        <f t="shared" si="13"/>
        <v/>
      </c>
      <c r="E43" s="14"/>
      <c r="F43" s="13"/>
      <c r="G43" s="14"/>
      <c r="H43" s="48" t="str">
        <f t="shared" si="10"/>
        <v/>
      </c>
      <c r="I43" s="13"/>
      <c r="J43" s="48" t="str">
        <f t="shared" si="11"/>
        <v/>
      </c>
    </row>
    <row r="44" spans="1:10">
      <c r="A44" s="37" t="str">
        <f t="shared" si="12"/>
        <v/>
      </c>
      <c r="B44" s="14"/>
      <c r="C44" s="13"/>
      <c r="D44" s="48" t="str">
        <f t="shared" si="13"/>
        <v/>
      </c>
      <c r="E44" s="14"/>
      <c r="F44" s="13"/>
      <c r="G44" s="14"/>
      <c r="H44" s="48" t="str">
        <f t="shared" si="10"/>
        <v/>
      </c>
      <c r="I44" s="13"/>
      <c r="J44" s="48" t="str">
        <f t="shared" si="11"/>
        <v/>
      </c>
    </row>
    <row r="45" spans="1:10">
      <c r="A45" s="37" t="str">
        <f t="shared" si="12"/>
        <v/>
      </c>
      <c r="B45" s="14"/>
      <c r="C45" s="13"/>
      <c r="D45" s="48" t="str">
        <f t="shared" si="13"/>
        <v/>
      </c>
      <c r="E45" s="14"/>
      <c r="F45" s="13"/>
      <c r="G45" s="14"/>
      <c r="H45" s="48" t="str">
        <f t="shared" si="10"/>
        <v/>
      </c>
      <c r="I45" s="13"/>
      <c r="J45" s="48" t="str">
        <f t="shared" si="11"/>
        <v/>
      </c>
    </row>
    <row r="46" spans="1:10">
      <c r="A46" s="37" t="str">
        <f t="shared" si="12"/>
        <v/>
      </c>
      <c r="B46" s="14"/>
      <c r="C46" s="13"/>
      <c r="D46" s="48" t="str">
        <f t="shared" si="13"/>
        <v/>
      </c>
      <c r="E46" s="14"/>
      <c r="F46" s="13"/>
      <c r="G46" s="14"/>
      <c r="H46" s="48" t="str">
        <f t="shared" si="10"/>
        <v/>
      </c>
      <c r="I46" s="13"/>
      <c r="J46" s="48" t="str">
        <f t="shared" si="11"/>
        <v/>
      </c>
    </row>
    <row r="47" spans="1:10">
      <c r="A47" s="37" t="str">
        <f t="shared" si="12"/>
        <v/>
      </c>
      <c r="B47" s="14"/>
      <c r="C47" s="13"/>
      <c r="D47" s="48" t="str">
        <f t="shared" si="13"/>
        <v/>
      </c>
      <c r="E47" s="14"/>
      <c r="F47" s="13"/>
      <c r="G47" s="14"/>
      <c r="H47" s="48" t="str">
        <f t="shared" si="10"/>
        <v/>
      </c>
      <c r="I47" s="13"/>
      <c r="J47" s="48" t="str">
        <f t="shared" si="11"/>
        <v/>
      </c>
    </row>
    <row r="48" spans="6:6">
      <c r="F48" s="10"/>
    </row>
  </sheetData>
  <sheetProtection password="C5D7" sheet="1" selectLockedCells="1" objects="1"/>
  <dataValidations count="7">
    <dataValidation type="list" allowBlank="1" showInputMessage="1" showErrorMessage="1" sqref="K5 K6:K9 K10:K24">
      <formula1>"脚本,杀怪,送信,收集,探索,杀怪寻物,副本杀怪,升级,采集,倒计时,左右选项,问答,通过副本,查看书籍"</formula1>
    </dataValidation>
    <dataValidation type="list" allowBlank="1" showInputMessage="1" showErrorMessage="1" sqref="M5 I28 I29 I30 I31 I32 I33 I34:I47 M6:M9 M10:M24 O5:O7 O8:O9 O10:O24 T5:T7 T8:T9 T10:T24">
      <formula1>"是,否"</formula1>
    </dataValidation>
    <dataValidation type="list" allowBlank="1" showInputMessage="1" showErrorMessage="1" sqref="V5 V6:V9 V10:V24">
      <formula1>"有,没有"</formula1>
    </dataValidation>
    <dataValidation type="list" allowBlank="1" showInputMessage="1" showErrorMessage="1" sqref="Z5 AB5 AD5 Z6:Z9 Z10:Z24 AB6:AB9 AB10:AB24 AD6:AD9 AD10:AD24">
      <formula1>捏造NPC!$J$27:$J$57</formula1>
    </dataValidation>
    <dataValidation type="list" allowBlank="1" showInputMessage="1" showErrorMessage="1" sqref="C28 C29 C30 C31 C32 C33:C37 C38:C47">
      <formula1>"手动点击,任务接取,任务完成"</formula1>
    </dataValidation>
    <dataValidation type="list" allowBlank="1" showInputMessage="1" showErrorMessage="1" sqref="G28 G29 G30 G31 G32 G33:G37 G38:G47">
      <formula1>"瑶花,夏风,浣浣,钟年,镜灵"</formula1>
    </dataValidation>
    <dataValidation type="list" allowBlank="1" showInputMessage="1" showErrorMessage="1" sqref="I5:I7 I8:I9 I10:I24">
      <formula1>"主线,主要引导,次要引导,轶事,支线,修真,传奇,隐藏"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200"/>
  <sheetViews>
    <sheetView workbookViewId="0">
      <pane xSplit="2" ySplit="2" topLeftCell="C4" activePane="bottomRight" state="frozen"/>
      <selection/>
      <selection pane="topRight"/>
      <selection pane="bottomLeft"/>
      <selection pane="bottomRight" activeCell="C4" sqref="C4:C50"/>
    </sheetView>
  </sheetViews>
  <sheetFormatPr defaultColWidth="9" defaultRowHeight="13.5" outlineLevelCol="6"/>
  <cols>
    <col min="1" max="1" width="9.625" style="50" customWidth="1"/>
    <col min="2" max="2" width="21.125" customWidth="1"/>
    <col min="3" max="3" width="14.125" customWidth="1"/>
    <col min="4" max="4" width="9.875" hidden="1" customWidth="1"/>
    <col min="6" max="6" width="9" hidden="1" customWidth="1"/>
    <col min="7" max="7" width="55" customWidth="1"/>
  </cols>
  <sheetData>
    <row r="1" ht="28" customHeight="1" spans="1:1">
      <c r="A1" s="51"/>
    </row>
    <row r="2" s="15" customFormat="1" ht="16.5" spans="1:7">
      <c r="A2" s="52" t="s">
        <v>61</v>
      </c>
      <c r="B2" s="15" t="s">
        <v>62</v>
      </c>
      <c r="C2" s="15" t="s">
        <v>63</v>
      </c>
      <c r="E2" s="15" t="s">
        <v>64</v>
      </c>
      <c r="G2" s="15" t="s">
        <v>65</v>
      </c>
    </row>
    <row r="3" s="12" customFormat="1" ht="16.5" spans="1:7">
      <c r="A3">
        <v>812410</v>
      </c>
      <c r="B3" t="s">
        <v>66</v>
      </c>
      <c r="C3" s="53" t="s">
        <v>36</v>
      </c>
      <c r="D3" s="12">
        <f>IF($C3="","",VLOOKUP($C3,捏造NPC!$J$27:$L$58,3,FALSE))</f>
        <v>123</v>
      </c>
      <c r="E3" s="53" t="s">
        <v>67</v>
      </c>
      <c r="F3" s="12">
        <f>IF($E3="特写",1,IF($E3="不动",0,""))</f>
        <v>1</v>
      </c>
      <c r="G3" s="53" t="s">
        <v>68</v>
      </c>
    </row>
    <row r="4" s="12" customFormat="1" ht="16.5" spans="1:7">
      <c r="A4">
        <v>812411</v>
      </c>
      <c r="B4" t="s">
        <v>66</v>
      </c>
      <c r="C4" s="53" t="s">
        <v>37</v>
      </c>
      <c r="D4" s="12">
        <f>IF($C4="","",VLOOKUP($C4,捏造NPC!$J$27:$L$58,3,FALSE))</f>
        <v>1000</v>
      </c>
      <c r="E4" s="53" t="s">
        <v>67</v>
      </c>
      <c r="F4" s="12">
        <f t="shared" ref="F4:F13" si="0">IF($E4="特写",1,IF($E4="不动",0,""))</f>
        <v>1</v>
      </c>
      <c r="G4" s="53" t="s">
        <v>68</v>
      </c>
    </row>
    <row r="5" s="12" customFormat="1" ht="16.5" spans="1:7">
      <c r="A5">
        <v>812412</v>
      </c>
      <c r="B5" t="s">
        <v>66</v>
      </c>
      <c r="C5" s="53" t="s">
        <v>37</v>
      </c>
      <c r="D5" s="12">
        <f>IF($C5="","",VLOOKUP($C5,捏造NPC!$J$27:$L$58,3,FALSE))</f>
        <v>1000</v>
      </c>
      <c r="E5" s="53" t="s">
        <v>67</v>
      </c>
      <c r="F5" s="12">
        <f t="shared" si="0"/>
        <v>1</v>
      </c>
      <c r="G5" s="53" t="s">
        <v>68</v>
      </c>
    </row>
    <row r="6" s="12" customFormat="1" ht="16.5" spans="1:7">
      <c r="A6">
        <v>812413</v>
      </c>
      <c r="B6" t="s">
        <v>66</v>
      </c>
      <c r="C6" s="53" t="s">
        <v>37</v>
      </c>
      <c r="D6" s="12">
        <f>IF($C6="","",VLOOKUP($C6,捏造NPC!$J$27:$L$58,3,FALSE))</f>
        <v>1000</v>
      </c>
      <c r="E6" s="53" t="s">
        <v>67</v>
      </c>
      <c r="F6" s="12">
        <f t="shared" si="0"/>
        <v>1</v>
      </c>
      <c r="G6" s="53" t="s">
        <v>68</v>
      </c>
    </row>
    <row r="7" s="12" customFormat="1" ht="16.5" spans="1:7">
      <c r="A7">
        <v>812414</v>
      </c>
      <c r="B7" t="s">
        <v>66</v>
      </c>
      <c r="C7" s="53" t="s">
        <v>37</v>
      </c>
      <c r="D7" s="12">
        <f>IF($C7="","",VLOOKUP($C7,捏造NPC!$J$27:$L$58,3,FALSE))</f>
        <v>1000</v>
      </c>
      <c r="E7" s="53" t="s">
        <v>67</v>
      </c>
      <c r="F7" s="12">
        <f t="shared" si="0"/>
        <v>1</v>
      </c>
      <c r="G7" s="53" t="s">
        <v>68</v>
      </c>
    </row>
    <row r="8" s="12" customFormat="1" ht="16.5" spans="1:7">
      <c r="A8">
        <v>812420</v>
      </c>
      <c r="B8" t="s">
        <v>69</v>
      </c>
      <c r="C8" s="53" t="s">
        <v>37</v>
      </c>
      <c r="D8" s="12">
        <f>IF($C8="","",VLOOKUP($C8,捏造NPC!$J$27:$L$58,3,FALSE))</f>
        <v>1000</v>
      </c>
      <c r="E8" s="53" t="s">
        <v>67</v>
      </c>
      <c r="F8" s="12">
        <f t="shared" si="0"/>
        <v>1</v>
      </c>
      <c r="G8" s="53" t="s">
        <v>68</v>
      </c>
    </row>
    <row r="9" s="12" customFormat="1" ht="16.5" spans="1:7">
      <c r="A9">
        <v>812421</v>
      </c>
      <c r="B9" t="s">
        <v>69</v>
      </c>
      <c r="C9" s="53" t="s">
        <v>37</v>
      </c>
      <c r="D9" s="12">
        <f>IF($C9="","",VLOOKUP($C9,捏造NPC!$J$27:$L$58,3,FALSE))</f>
        <v>1000</v>
      </c>
      <c r="E9" s="53" t="s">
        <v>67</v>
      </c>
      <c r="F9" s="12">
        <f t="shared" si="0"/>
        <v>1</v>
      </c>
      <c r="G9" s="53" t="s">
        <v>68</v>
      </c>
    </row>
    <row r="10" s="12" customFormat="1" ht="16.5" spans="1:7">
      <c r="A10">
        <v>812422</v>
      </c>
      <c r="B10" t="s">
        <v>69</v>
      </c>
      <c r="C10" s="53" t="s">
        <v>37</v>
      </c>
      <c r="D10" s="12">
        <f>IF($C10="","",VLOOKUP($C10,捏造NPC!$J$27:$L$58,3,FALSE))</f>
        <v>1000</v>
      </c>
      <c r="E10" s="53" t="s">
        <v>67</v>
      </c>
      <c r="F10" s="12">
        <f t="shared" si="0"/>
        <v>1</v>
      </c>
      <c r="G10" s="53" t="s">
        <v>68</v>
      </c>
    </row>
    <row r="11" s="12" customFormat="1" ht="16.5" spans="1:7">
      <c r="A11">
        <v>812430</v>
      </c>
      <c r="B11" t="s">
        <v>70</v>
      </c>
      <c r="C11" s="53" t="s">
        <v>37</v>
      </c>
      <c r="D11" s="12">
        <f>IF($C11="","",VLOOKUP($C11,捏造NPC!$J$27:$L$58,3,FALSE))</f>
        <v>1000</v>
      </c>
      <c r="E11" s="53" t="s">
        <v>67</v>
      </c>
      <c r="F11" s="12">
        <f t="shared" si="0"/>
        <v>1</v>
      </c>
      <c r="G11" s="53" t="s">
        <v>68</v>
      </c>
    </row>
    <row r="12" s="12" customFormat="1" ht="16.5" spans="1:7">
      <c r="A12">
        <v>812431</v>
      </c>
      <c r="B12" t="s">
        <v>70</v>
      </c>
      <c r="C12" s="53" t="s">
        <v>37</v>
      </c>
      <c r="D12" s="12">
        <f>IF($C12="","",VLOOKUP($C12,捏造NPC!$J$27:$L$58,3,FALSE))</f>
        <v>1000</v>
      </c>
      <c r="E12" s="53" t="s">
        <v>67</v>
      </c>
      <c r="F12" s="12">
        <f t="shared" si="0"/>
        <v>1</v>
      </c>
      <c r="G12" s="53" t="s">
        <v>68</v>
      </c>
    </row>
    <row r="13" s="12" customFormat="1" ht="16.5" spans="1:7">
      <c r="A13">
        <v>812432</v>
      </c>
      <c r="B13" t="s">
        <v>70</v>
      </c>
      <c r="C13" s="53" t="s">
        <v>37</v>
      </c>
      <c r="D13" s="12">
        <f>IF($C13="","",VLOOKUP($C13,捏造NPC!$J$27:$L$58,3,FALSE))</f>
        <v>1000</v>
      </c>
      <c r="E13" s="53" t="s">
        <v>67</v>
      </c>
      <c r="F13" s="12">
        <f t="shared" si="0"/>
        <v>1</v>
      </c>
      <c r="G13" s="53" t="s">
        <v>68</v>
      </c>
    </row>
    <row r="14" s="12" customFormat="1" ht="16.5" spans="1:7">
      <c r="A14">
        <v>812433</v>
      </c>
      <c r="B14" t="s">
        <v>70</v>
      </c>
      <c r="C14" s="53" t="s">
        <v>37</v>
      </c>
      <c r="D14" s="12">
        <f>IF($C14="","",VLOOKUP($C14,捏造NPC!$J$27:$L$58,3,FALSE))</f>
        <v>1000</v>
      </c>
      <c r="E14" s="53" t="s">
        <v>67</v>
      </c>
      <c r="F14" s="12">
        <f t="shared" ref="F14:F45" si="1">IF($E14="特写",1,IF($E14="不动",0,""))</f>
        <v>1</v>
      </c>
      <c r="G14" s="53" t="s">
        <v>68</v>
      </c>
    </row>
    <row r="15" s="12" customFormat="1" ht="16.5" spans="1:7">
      <c r="A15">
        <v>812434</v>
      </c>
      <c r="B15" t="s">
        <v>70</v>
      </c>
      <c r="C15" s="53" t="s">
        <v>37</v>
      </c>
      <c r="D15" s="12">
        <f>IF($C15="","",VLOOKUP($C15,捏造NPC!$J$27:$L$58,3,FALSE))</f>
        <v>1000</v>
      </c>
      <c r="E15" s="53" t="s">
        <v>67</v>
      </c>
      <c r="F15" s="12">
        <f t="shared" si="1"/>
        <v>1</v>
      </c>
      <c r="G15" s="53" t="s">
        <v>68</v>
      </c>
    </row>
    <row r="16" s="12" customFormat="1" ht="16.5" spans="1:7">
      <c r="A16">
        <v>812510</v>
      </c>
      <c r="B16" t="s">
        <v>66</v>
      </c>
      <c r="C16" s="53" t="s">
        <v>37</v>
      </c>
      <c r="D16" s="12">
        <f>IF($C16="","",VLOOKUP($C16,捏造NPC!$J$27:$L$58,3,FALSE))</f>
        <v>1000</v>
      </c>
      <c r="E16" s="53" t="s">
        <v>67</v>
      </c>
      <c r="F16" s="12">
        <f t="shared" si="1"/>
        <v>1</v>
      </c>
      <c r="G16" s="53" t="s">
        <v>68</v>
      </c>
    </row>
    <row r="17" s="12" customFormat="1" ht="16.5" spans="1:7">
      <c r="A17">
        <v>812511</v>
      </c>
      <c r="B17" t="s">
        <v>66</v>
      </c>
      <c r="C17" s="53" t="s">
        <v>37</v>
      </c>
      <c r="D17" s="12">
        <f>IF($C17="","",VLOOKUP($C17,捏造NPC!$J$27:$L$58,3,FALSE))</f>
        <v>1000</v>
      </c>
      <c r="E17" s="53" t="s">
        <v>67</v>
      </c>
      <c r="F17" s="12">
        <f t="shared" si="1"/>
        <v>1</v>
      </c>
      <c r="G17" s="53" t="s">
        <v>68</v>
      </c>
    </row>
    <row r="18" s="12" customFormat="1" ht="16.5" spans="1:7">
      <c r="A18">
        <v>812512</v>
      </c>
      <c r="B18" t="s">
        <v>66</v>
      </c>
      <c r="C18" s="53" t="s">
        <v>37</v>
      </c>
      <c r="D18" s="12">
        <f>IF($C18="","",VLOOKUP($C18,捏造NPC!$J$27:$L$58,3,FALSE))</f>
        <v>1000</v>
      </c>
      <c r="E18" s="53" t="s">
        <v>67</v>
      </c>
      <c r="F18" s="12">
        <f t="shared" si="1"/>
        <v>1</v>
      </c>
      <c r="G18" s="53" t="s">
        <v>68</v>
      </c>
    </row>
    <row r="19" s="12" customFormat="1" ht="16.5" spans="1:7">
      <c r="A19">
        <v>812513</v>
      </c>
      <c r="B19" t="s">
        <v>66</v>
      </c>
      <c r="C19" s="53" t="s">
        <v>37</v>
      </c>
      <c r="D19" s="12">
        <f>IF($C19="","",VLOOKUP($C19,捏造NPC!$J$27:$L$58,3,FALSE))</f>
        <v>1000</v>
      </c>
      <c r="E19" s="53" t="s">
        <v>67</v>
      </c>
      <c r="F19" s="12">
        <f t="shared" si="1"/>
        <v>1</v>
      </c>
      <c r="G19" s="53" t="s">
        <v>68</v>
      </c>
    </row>
    <row r="20" s="12" customFormat="1" ht="16.5" spans="1:7">
      <c r="A20">
        <v>812514</v>
      </c>
      <c r="B20" t="s">
        <v>66</v>
      </c>
      <c r="C20" s="53" t="s">
        <v>37</v>
      </c>
      <c r="D20" s="12">
        <f>IF($C20="","",VLOOKUP($C20,捏造NPC!$J$27:$L$58,3,FALSE))</f>
        <v>1000</v>
      </c>
      <c r="E20" s="53" t="s">
        <v>67</v>
      </c>
      <c r="F20" s="12">
        <f t="shared" si="1"/>
        <v>1</v>
      </c>
      <c r="G20" s="53" t="s">
        <v>68</v>
      </c>
    </row>
    <row r="21" s="12" customFormat="1" ht="16.5" spans="1:7">
      <c r="A21">
        <v>812515</v>
      </c>
      <c r="B21" t="s">
        <v>66</v>
      </c>
      <c r="C21" s="53" t="s">
        <v>37</v>
      </c>
      <c r="D21" s="12">
        <f>IF($C21="","",VLOOKUP($C21,捏造NPC!$J$27:$L$58,3,FALSE))</f>
        <v>1000</v>
      </c>
      <c r="E21" s="53" t="s">
        <v>67</v>
      </c>
      <c r="F21" s="12">
        <f t="shared" si="1"/>
        <v>1</v>
      </c>
      <c r="G21" s="53" t="s">
        <v>68</v>
      </c>
    </row>
    <row r="22" s="12" customFormat="1" ht="16.5" spans="1:7">
      <c r="A22">
        <v>812520</v>
      </c>
      <c r="B22" t="s">
        <v>69</v>
      </c>
      <c r="C22" s="53" t="s">
        <v>37</v>
      </c>
      <c r="D22" s="12">
        <f>IF($C22="","",VLOOKUP($C22,捏造NPC!$J$27:$L$58,3,FALSE))</f>
        <v>1000</v>
      </c>
      <c r="E22" s="53" t="s">
        <v>67</v>
      </c>
      <c r="F22" s="12">
        <f t="shared" si="1"/>
        <v>1</v>
      </c>
      <c r="G22" s="53" t="s">
        <v>68</v>
      </c>
    </row>
    <row r="23" s="12" customFormat="1" ht="16.5" spans="1:7">
      <c r="A23">
        <v>812521</v>
      </c>
      <c r="B23" t="s">
        <v>69</v>
      </c>
      <c r="C23" s="53" t="s">
        <v>37</v>
      </c>
      <c r="D23" s="12">
        <f>IF($C23="","",VLOOKUP($C23,捏造NPC!$J$27:$L$58,3,FALSE))</f>
        <v>1000</v>
      </c>
      <c r="E23" s="53" t="s">
        <v>67</v>
      </c>
      <c r="F23" s="12">
        <f t="shared" si="1"/>
        <v>1</v>
      </c>
      <c r="G23" s="53" t="s">
        <v>68</v>
      </c>
    </row>
    <row r="24" s="12" customFormat="1" ht="16.5" spans="1:7">
      <c r="A24">
        <v>812522</v>
      </c>
      <c r="B24" t="s">
        <v>69</v>
      </c>
      <c r="C24" s="53" t="s">
        <v>37</v>
      </c>
      <c r="D24" s="12">
        <f>IF($C24="","",VLOOKUP($C24,捏造NPC!$J$27:$L$58,3,FALSE))</f>
        <v>1000</v>
      </c>
      <c r="E24" s="53" t="s">
        <v>67</v>
      </c>
      <c r="F24" s="12">
        <f t="shared" si="1"/>
        <v>1</v>
      </c>
      <c r="G24" s="53" t="s">
        <v>68</v>
      </c>
    </row>
    <row r="25" s="12" customFormat="1" ht="16.5" spans="1:7">
      <c r="A25">
        <v>812523</v>
      </c>
      <c r="B25" t="s">
        <v>69</v>
      </c>
      <c r="C25" s="53" t="s">
        <v>37</v>
      </c>
      <c r="D25" s="12">
        <f>IF($C25="","",VLOOKUP($C25,捏造NPC!$J$27:$L$58,3,FALSE))</f>
        <v>1000</v>
      </c>
      <c r="E25" s="53" t="s">
        <v>67</v>
      </c>
      <c r="F25" s="12">
        <f t="shared" si="1"/>
        <v>1</v>
      </c>
      <c r="G25" s="53" t="s">
        <v>68</v>
      </c>
    </row>
    <row r="26" s="12" customFormat="1" ht="16.5" spans="1:7">
      <c r="A26">
        <v>812530</v>
      </c>
      <c r="B26" t="s">
        <v>70</v>
      </c>
      <c r="C26" s="53" t="s">
        <v>37</v>
      </c>
      <c r="D26" s="12">
        <f>IF($C26="","",VLOOKUP($C26,捏造NPC!$J$27:$L$58,3,FALSE))</f>
        <v>1000</v>
      </c>
      <c r="E26" s="53" t="s">
        <v>67</v>
      </c>
      <c r="F26" s="12">
        <f t="shared" si="1"/>
        <v>1</v>
      </c>
      <c r="G26" s="53" t="s">
        <v>68</v>
      </c>
    </row>
    <row r="27" s="12" customFormat="1" ht="16.5" spans="1:7">
      <c r="A27">
        <v>812531</v>
      </c>
      <c r="B27" t="s">
        <v>70</v>
      </c>
      <c r="C27" s="53" t="s">
        <v>37</v>
      </c>
      <c r="D27" s="12">
        <f>IF($C27="","",VLOOKUP($C27,捏造NPC!$J$27:$L$58,3,FALSE))</f>
        <v>1000</v>
      </c>
      <c r="E27" s="53" t="s">
        <v>67</v>
      </c>
      <c r="F27" s="12">
        <f t="shared" si="1"/>
        <v>1</v>
      </c>
      <c r="G27" s="53" t="s">
        <v>68</v>
      </c>
    </row>
    <row r="28" s="12" customFormat="1" ht="16.5" spans="1:7">
      <c r="A28">
        <v>812532</v>
      </c>
      <c r="B28" t="s">
        <v>70</v>
      </c>
      <c r="C28" s="53" t="s">
        <v>37</v>
      </c>
      <c r="D28" s="12">
        <f>IF($C28="","",VLOOKUP($C28,捏造NPC!$J$27:$L$58,3,FALSE))</f>
        <v>1000</v>
      </c>
      <c r="E28" s="53" t="s">
        <v>67</v>
      </c>
      <c r="F28" s="12">
        <f t="shared" si="1"/>
        <v>1</v>
      </c>
      <c r="G28" s="53" t="s">
        <v>68</v>
      </c>
    </row>
    <row r="29" s="12" customFormat="1" ht="16.5" spans="1:7">
      <c r="A29">
        <v>812533</v>
      </c>
      <c r="B29" t="s">
        <v>70</v>
      </c>
      <c r="C29" s="53" t="s">
        <v>37</v>
      </c>
      <c r="D29" s="12">
        <f>IF($C29="","",VLOOKUP($C29,捏造NPC!$J$27:$L$58,3,FALSE))</f>
        <v>1000</v>
      </c>
      <c r="E29" s="53" t="s">
        <v>67</v>
      </c>
      <c r="F29" s="12">
        <f t="shared" si="1"/>
        <v>1</v>
      </c>
      <c r="G29" s="53" t="s">
        <v>68</v>
      </c>
    </row>
    <row r="30" s="12" customFormat="1" ht="16.5" spans="1:7">
      <c r="A30">
        <v>812534</v>
      </c>
      <c r="B30" t="s">
        <v>70</v>
      </c>
      <c r="C30" s="53" t="s">
        <v>37</v>
      </c>
      <c r="D30" s="12">
        <f>IF($C30="","",VLOOKUP($C30,捏造NPC!$J$27:$L$58,3,FALSE))</f>
        <v>1000</v>
      </c>
      <c r="E30" s="53" t="s">
        <v>67</v>
      </c>
      <c r="F30" s="12">
        <f t="shared" si="1"/>
        <v>1</v>
      </c>
      <c r="G30" s="53" t="s">
        <v>68</v>
      </c>
    </row>
    <row r="31" s="12" customFormat="1" ht="16.5" spans="1:7">
      <c r="A31">
        <v>812535</v>
      </c>
      <c r="B31" t="s">
        <v>70</v>
      </c>
      <c r="C31" s="53" t="s">
        <v>37</v>
      </c>
      <c r="D31" s="12">
        <f>IF($C31="","",VLOOKUP($C31,捏造NPC!$J$27:$L$58,3,FALSE))</f>
        <v>1000</v>
      </c>
      <c r="E31" s="53" t="s">
        <v>67</v>
      </c>
      <c r="F31" s="12">
        <f t="shared" si="1"/>
        <v>1</v>
      </c>
      <c r="G31" s="53" t="s">
        <v>68</v>
      </c>
    </row>
    <row r="32" s="12" customFormat="1" ht="16.5" spans="1:7">
      <c r="A32">
        <v>812610</v>
      </c>
      <c r="B32" t="s">
        <v>66</v>
      </c>
      <c r="C32" s="53" t="s">
        <v>37</v>
      </c>
      <c r="D32" s="12">
        <f>IF($C32="","",VLOOKUP($C32,捏造NPC!$J$27:$L$58,3,FALSE))</f>
        <v>1000</v>
      </c>
      <c r="E32" s="53" t="s">
        <v>67</v>
      </c>
      <c r="F32" s="12">
        <f t="shared" si="1"/>
        <v>1</v>
      </c>
      <c r="G32" s="53" t="s">
        <v>68</v>
      </c>
    </row>
    <row r="33" s="12" customFormat="1" ht="16.5" spans="1:7">
      <c r="A33">
        <v>812611</v>
      </c>
      <c r="B33" t="s">
        <v>66</v>
      </c>
      <c r="C33" s="53" t="s">
        <v>37</v>
      </c>
      <c r="D33" s="12">
        <f>IF($C33="","",VLOOKUP($C33,捏造NPC!$J$27:$L$58,3,FALSE))</f>
        <v>1000</v>
      </c>
      <c r="E33" s="53" t="s">
        <v>67</v>
      </c>
      <c r="F33" s="12">
        <f t="shared" si="1"/>
        <v>1</v>
      </c>
      <c r="G33" s="53" t="s">
        <v>68</v>
      </c>
    </row>
    <row r="34" s="12" customFormat="1" ht="16.5" spans="1:7">
      <c r="A34">
        <v>812612</v>
      </c>
      <c r="B34" t="s">
        <v>66</v>
      </c>
      <c r="C34" s="53" t="s">
        <v>37</v>
      </c>
      <c r="D34" s="12">
        <f>IF($C34="","",VLOOKUP($C34,捏造NPC!$J$27:$L$58,3,FALSE))</f>
        <v>1000</v>
      </c>
      <c r="E34" s="53" t="s">
        <v>67</v>
      </c>
      <c r="F34" s="12">
        <f t="shared" si="1"/>
        <v>1</v>
      </c>
      <c r="G34" s="53" t="s">
        <v>68</v>
      </c>
    </row>
    <row r="35" s="12" customFormat="1" ht="16.5" spans="1:7">
      <c r="A35">
        <v>812613</v>
      </c>
      <c r="B35" t="s">
        <v>66</v>
      </c>
      <c r="C35" s="53" t="s">
        <v>37</v>
      </c>
      <c r="D35" s="12">
        <f>IF($C35="","",VLOOKUP($C35,捏造NPC!$J$27:$L$58,3,FALSE))</f>
        <v>1000</v>
      </c>
      <c r="E35" s="53" t="s">
        <v>67</v>
      </c>
      <c r="F35" s="12">
        <f t="shared" si="1"/>
        <v>1</v>
      </c>
      <c r="G35" s="53" t="s">
        <v>68</v>
      </c>
    </row>
    <row r="36" s="12" customFormat="1" ht="16.5" spans="1:7">
      <c r="A36">
        <v>812614</v>
      </c>
      <c r="B36" t="s">
        <v>66</v>
      </c>
      <c r="C36" s="53" t="s">
        <v>37</v>
      </c>
      <c r="D36" s="12">
        <f>IF($C36="","",VLOOKUP($C36,捏造NPC!$J$27:$L$58,3,FALSE))</f>
        <v>1000</v>
      </c>
      <c r="E36" s="53" t="s">
        <v>67</v>
      </c>
      <c r="F36" s="12">
        <f t="shared" si="1"/>
        <v>1</v>
      </c>
      <c r="G36" s="53" t="s">
        <v>68</v>
      </c>
    </row>
    <row r="37" s="12" customFormat="1" ht="16.5" spans="1:7">
      <c r="A37">
        <v>812615</v>
      </c>
      <c r="B37" t="s">
        <v>66</v>
      </c>
      <c r="C37" s="53" t="s">
        <v>37</v>
      </c>
      <c r="D37" s="12">
        <f>IF($C37="","",VLOOKUP($C37,捏造NPC!$J$27:$L$58,3,FALSE))</f>
        <v>1000</v>
      </c>
      <c r="E37" s="53" t="s">
        <v>67</v>
      </c>
      <c r="F37" s="12">
        <f t="shared" si="1"/>
        <v>1</v>
      </c>
      <c r="G37" s="53" t="s">
        <v>68</v>
      </c>
    </row>
    <row r="38" s="12" customFormat="1" ht="16.5" spans="1:7">
      <c r="A38">
        <v>812616</v>
      </c>
      <c r="B38" t="s">
        <v>66</v>
      </c>
      <c r="C38" s="53" t="s">
        <v>37</v>
      </c>
      <c r="D38" s="12">
        <f>IF($C38="","",VLOOKUP($C38,捏造NPC!$J$27:$L$58,3,FALSE))</f>
        <v>1000</v>
      </c>
      <c r="E38" s="53" t="s">
        <v>67</v>
      </c>
      <c r="F38" s="12">
        <f t="shared" si="1"/>
        <v>1</v>
      </c>
      <c r="G38" s="53" t="s">
        <v>68</v>
      </c>
    </row>
    <row r="39" s="12" customFormat="1" ht="16.5" spans="1:7">
      <c r="A39">
        <v>812620</v>
      </c>
      <c r="B39" t="s">
        <v>69</v>
      </c>
      <c r="C39" s="53" t="s">
        <v>37</v>
      </c>
      <c r="D39" s="12">
        <f>IF($C39="","",VLOOKUP($C39,捏造NPC!$J$27:$L$58,3,FALSE))</f>
        <v>1000</v>
      </c>
      <c r="E39" s="53" t="s">
        <v>67</v>
      </c>
      <c r="F39" s="12">
        <f t="shared" si="1"/>
        <v>1</v>
      </c>
      <c r="G39" s="53" t="s">
        <v>68</v>
      </c>
    </row>
    <row r="40" s="12" customFormat="1" ht="16.5" spans="1:7">
      <c r="A40">
        <v>812621</v>
      </c>
      <c r="B40" t="s">
        <v>69</v>
      </c>
      <c r="C40" s="53" t="s">
        <v>37</v>
      </c>
      <c r="D40" s="12">
        <f>IF($C40="","",VLOOKUP($C40,捏造NPC!$J$27:$L$58,3,FALSE))</f>
        <v>1000</v>
      </c>
      <c r="E40" s="53" t="s">
        <v>67</v>
      </c>
      <c r="F40" s="12">
        <f t="shared" si="1"/>
        <v>1</v>
      </c>
      <c r="G40" s="53" t="s">
        <v>68</v>
      </c>
    </row>
    <row r="41" s="12" customFormat="1" ht="16.5" spans="1:7">
      <c r="A41">
        <v>812622</v>
      </c>
      <c r="B41" t="s">
        <v>69</v>
      </c>
      <c r="C41" s="53" t="s">
        <v>37</v>
      </c>
      <c r="D41" s="12">
        <f>IF($C41="","",VLOOKUP($C41,捏造NPC!$J$27:$L$58,3,FALSE))</f>
        <v>1000</v>
      </c>
      <c r="E41" s="53" t="s">
        <v>67</v>
      </c>
      <c r="F41" s="12">
        <f t="shared" si="1"/>
        <v>1</v>
      </c>
      <c r="G41" s="53" t="s">
        <v>68</v>
      </c>
    </row>
    <row r="42" s="12" customFormat="1" ht="16.5" spans="1:7">
      <c r="A42">
        <v>812623</v>
      </c>
      <c r="B42" t="s">
        <v>69</v>
      </c>
      <c r="C42" s="53" t="s">
        <v>37</v>
      </c>
      <c r="D42" s="12">
        <f>IF($C42="","",VLOOKUP($C42,捏造NPC!$J$27:$L$58,3,FALSE))</f>
        <v>1000</v>
      </c>
      <c r="E42" s="53" t="s">
        <v>67</v>
      </c>
      <c r="F42" s="12">
        <f t="shared" si="1"/>
        <v>1</v>
      </c>
      <c r="G42" s="53" t="s">
        <v>68</v>
      </c>
    </row>
    <row r="43" s="12" customFormat="1" ht="16.5" spans="1:7">
      <c r="A43">
        <v>812624</v>
      </c>
      <c r="B43" t="s">
        <v>69</v>
      </c>
      <c r="C43" s="53" t="s">
        <v>37</v>
      </c>
      <c r="D43" s="12">
        <f>IF($C43="","",VLOOKUP($C43,捏造NPC!$J$27:$L$58,3,FALSE))</f>
        <v>1000</v>
      </c>
      <c r="E43" s="53" t="s">
        <v>67</v>
      </c>
      <c r="F43" s="12">
        <f t="shared" si="1"/>
        <v>1</v>
      </c>
      <c r="G43" s="53" t="s">
        <v>68</v>
      </c>
    </row>
    <row r="44" s="12" customFormat="1" ht="16.5" spans="1:7">
      <c r="A44">
        <v>812630</v>
      </c>
      <c r="B44" t="s">
        <v>70</v>
      </c>
      <c r="C44" s="53" t="s">
        <v>37</v>
      </c>
      <c r="D44" s="12">
        <f>IF($C44="","",VLOOKUP($C44,捏造NPC!$J$27:$L$58,3,FALSE))</f>
        <v>1000</v>
      </c>
      <c r="E44" s="53" t="s">
        <v>67</v>
      </c>
      <c r="F44" s="12">
        <f t="shared" si="1"/>
        <v>1</v>
      </c>
      <c r="G44" s="53" t="s">
        <v>68</v>
      </c>
    </row>
    <row r="45" s="12" customFormat="1" ht="16.5" spans="1:7">
      <c r="A45">
        <v>812631</v>
      </c>
      <c r="B45" t="s">
        <v>70</v>
      </c>
      <c r="C45" s="53" t="s">
        <v>37</v>
      </c>
      <c r="D45" s="12">
        <f>IF($C45="","",VLOOKUP($C45,捏造NPC!$J$27:$L$58,3,FALSE))</f>
        <v>1000</v>
      </c>
      <c r="E45" s="53" t="s">
        <v>67</v>
      </c>
      <c r="F45" s="12">
        <f t="shared" si="1"/>
        <v>1</v>
      </c>
      <c r="G45" s="53" t="s">
        <v>68</v>
      </c>
    </row>
    <row r="46" s="12" customFormat="1" ht="16.5" spans="1:7">
      <c r="A46">
        <v>812632</v>
      </c>
      <c r="B46" t="s">
        <v>70</v>
      </c>
      <c r="C46" s="53" t="s">
        <v>37</v>
      </c>
      <c r="D46" s="12">
        <f>IF($C46="","",VLOOKUP($C46,捏造NPC!$J$27:$L$58,3,FALSE))</f>
        <v>1000</v>
      </c>
      <c r="E46" s="53" t="s">
        <v>67</v>
      </c>
      <c r="F46" s="12">
        <f t="shared" ref="F46:F77" si="2">IF($E46="特写",1,IF($E46="不动",0,""))</f>
        <v>1</v>
      </c>
      <c r="G46" s="53" t="s">
        <v>68</v>
      </c>
    </row>
    <row r="47" s="12" customFormat="1" ht="16.5" spans="1:7">
      <c r="A47">
        <v>812633</v>
      </c>
      <c r="B47" t="s">
        <v>70</v>
      </c>
      <c r="C47" s="53" t="s">
        <v>37</v>
      </c>
      <c r="D47" s="12">
        <f>IF($C47="","",VLOOKUP($C47,捏造NPC!$J$27:$L$58,3,FALSE))</f>
        <v>1000</v>
      </c>
      <c r="E47" s="53" t="s">
        <v>67</v>
      </c>
      <c r="F47" s="12">
        <f t="shared" si="2"/>
        <v>1</v>
      </c>
      <c r="G47" s="53" t="s">
        <v>68</v>
      </c>
    </row>
    <row r="48" s="12" customFormat="1" ht="16.5" spans="1:7">
      <c r="A48">
        <v>812634</v>
      </c>
      <c r="B48" t="s">
        <v>70</v>
      </c>
      <c r="C48" s="53" t="s">
        <v>37</v>
      </c>
      <c r="D48" s="12">
        <f>IF($C48="","",VLOOKUP($C48,捏造NPC!$J$27:$L$58,3,FALSE))</f>
        <v>1000</v>
      </c>
      <c r="E48" s="53" t="s">
        <v>67</v>
      </c>
      <c r="F48" s="12">
        <f t="shared" si="2"/>
        <v>1</v>
      </c>
      <c r="G48" s="53" t="s">
        <v>68</v>
      </c>
    </row>
    <row r="49" s="12" customFormat="1" ht="16.5" spans="1:7">
      <c r="A49">
        <v>812635</v>
      </c>
      <c r="B49" t="s">
        <v>70</v>
      </c>
      <c r="C49" s="53" t="s">
        <v>37</v>
      </c>
      <c r="D49" s="12">
        <f>IF($C49="","",VLOOKUP($C49,捏造NPC!$J$27:$L$58,3,FALSE))</f>
        <v>1000</v>
      </c>
      <c r="E49" s="53" t="s">
        <v>67</v>
      </c>
      <c r="F49" s="12">
        <f t="shared" si="2"/>
        <v>1</v>
      </c>
      <c r="G49" s="53" t="s">
        <v>68</v>
      </c>
    </row>
    <row r="50" s="12" customFormat="1" ht="16.5" spans="1:7">
      <c r="A50">
        <v>812636</v>
      </c>
      <c r="B50" t="s">
        <v>70</v>
      </c>
      <c r="C50" s="53" t="s">
        <v>37</v>
      </c>
      <c r="D50" s="12">
        <f>IF($C50="","",VLOOKUP($C50,捏造NPC!$J$27:$L$58,3,FALSE))</f>
        <v>1000</v>
      </c>
      <c r="E50" s="53" t="s">
        <v>67</v>
      </c>
      <c r="F50" s="12">
        <f t="shared" si="2"/>
        <v>1</v>
      </c>
      <c r="G50" s="53" t="s">
        <v>68</v>
      </c>
    </row>
    <row r="51" s="12" customFormat="1" ht="16.5" spans="1:7">
      <c r="A51"/>
      <c r="B51"/>
      <c r="C51" s="53"/>
      <c r="D51" s="12" t="str">
        <f>IF($C51="","",VLOOKUP($C51,捏造NPC!$J$27:$L$58,3,FALSE))</f>
        <v/>
      </c>
      <c r="E51" s="53"/>
      <c r="F51" s="12" t="str">
        <f t="shared" si="2"/>
        <v/>
      </c>
      <c r="G51" s="53"/>
    </row>
    <row r="52" s="12" customFormat="1" ht="16.5" spans="1:7">
      <c r="A52"/>
      <c r="B52"/>
      <c r="C52" s="53"/>
      <c r="D52" s="12" t="str">
        <f>IF($C52="","",VLOOKUP($C52,捏造NPC!$J$27:$L$58,3,FALSE))</f>
        <v/>
      </c>
      <c r="E52" s="53"/>
      <c r="F52" s="12" t="str">
        <f t="shared" si="2"/>
        <v/>
      </c>
      <c r="G52" s="53"/>
    </row>
    <row r="53" s="12" customFormat="1" ht="16.5" spans="1:7">
      <c r="A53"/>
      <c r="B53"/>
      <c r="C53" s="53"/>
      <c r="D53" s="12" t="str">
        <f>IF($C53="","",VLOOKUP($C53,捏造NPC!$J$27:$L$58,3,FALSE))</f>
        <v/>
      </c>
      <c r="E53" s="53"/>
      <c r="F53" s="12" t="str">
        <f t="shared" si="2"/>
        <v/>
      </c>
      <c r="G53" s="53"/>
    </row>
    <row r="54" s="12" customFormat="1" ht="16.5" spans="1:7">
      <c r="A54"/>
      <c r="B54"/>
      <c r="C54" s="53"/>
      <c r="D54" s="12" t="str">
        <f>IF($C54="","",VLOOKUP($C54,捏造NPC!$J$27:$L$58,3,FALSE))</f>
        <v/>
      </c>
      <c r="E54" s="53"/>
      <c r="F54" s="12" t="str">
        <f t="shared" si="2"/>
        <v/>
      </c>
      <c r="G54" s="53"/>
    </row>
    <row r="55" s="12" customFormat="1" ht="16.5" spans="1:7">
      <c r="A55"/>
      <c r="B55"/>
      <c r="C55" s="53"/>
      <c r="D55" s="12" t="str">
        <f>IF($C55="","",VLOOKUP($C55,捏造NPC!$J$27:$L$58,3,FALSE))</f>
        <v/>
      </c>
      <c r="E55" s="53"/>
      <c r="F55" s="12" t="str">
        <f t="shared" si="2"/>
        <v/>
      </c>
      <c r="G55" s="53"/>
    </row>
    <row r="56" s="12" customFormat="1" ht="16.5" spans="1:7">
      <c r="A56"/>
      <c r="B56"/>
      <c r="C56" s="53"/>
      <c r="D56" s="12" t="str">
        <f>IF($C56="","",VLOOKUP($C56,捏造NPC!$J$27:$L$58,3,FALSE))</f>
        <v/>
      </c>
      <c r="E56" s="53"/>
      <c r="F56" s="12" t="str">
        <f t="shared" si="2"/>
        <v/>
      </c>
      <c r="G56" s="53"/>
    </row>
    <row r="57" s="12" customFormat="1" ht="16.5" spans="1:7">
      <c r="A57"/>
      <c r="B57"/>
      <c r="C57" s="53"/>
      <c r="D57" s="12" t="str">
        <f>IF($C57="","",VLOOKUP($C57,捏造NPC!$J$27:$L$58,3,FALSE))</f>
        <v/>
      </c>
      <c r="E57" s="53"/>
      <c r="F57" s="12" t="str">
        <f t="shared" si="2"/>
        <v/>
      </c>
      <c r="G57" s="53"/>
    </row>
    <row r="58" s="12" customFormat="1" ht="16.5" spans="1:7">
      <c r="A58"/>
      <c r="B58"/>
      <c r="C58" s="53"/>
      <c r="D58" s="12" t="str">
        <f>IF($C58="","",VLOOKUP($C58,捏造NPC!$J$27:$L$58,3,FALSE))</f>
        <v/>
      </c>
      <c r="E58" s="53"/>
      <c r="F58" s="12" t="str">
        <f t="shared" si="2"/>
        <v/>
      </c>
      <c r="G58" s="53"/>
    </row>
    <row r="59" s="12" customFormat="1" ht="16.5" spans="1:7">
      <c r="A59"/>
      <c r="B59"/>
      <c r="C59" s="53"/>
      <c r="D59" s="12" t="str">
        <f>IF($C59="","",VLOOKUP($C59,捏造NPC!$J$27:$L$58,3,FALSE))</f>
        <v/>
      </c>
      <c r="E59" s="53"/>
      <c r="F59" s="12" t="str">
        <f t="shared" si="2"/>
        <v/>
      </c>
      <c r="G59" s="53"/>
    </row>
    <row r="60" s="12" customFormat="1" ht="16.5" spans="1:7">
      <c r="A60"/>
      <c r="B60"/>
      <c r="C60" s="53"/>
      <c r="D60" s="12" t="str">
        <f>IF($C60="","",VLOOKUP($C60,捏造NPC!$J$27:$L$58,3,FALSE))</f>
        <v/>
      </c>
      <c r="E60" s="53"/>
      <c r="F60" s="12" t="str">
        <f t="shared" si="2"/>
        <v/>
      </c>
      <c r="G60" s="53"/>
    </row>
    <row r="61" s="12" customFormat="1" ht="16.5" spans="1:7">
      <c r="A61"/>
      <c r="B61"/>
      <c r="C61" s="53"/>
      <c r="D61" s="12" t="str">
        <f>IF($C61="","",VLOOKUP($C61,捏造NPC!$J$27:$L$58,3,FALSE))</f>
        <v/>
      </c>
      <c r="E61" s="53"/>
      <c r="F61" s="12" t="str">
        <f t="shared" si="2"/>
        <v/>
      </c>
      <c r="G61" s="53"/>
    </row>
    <row r="62" s="12" customFormat="1" ht="16.5" spans="1:7">
      <c r="A62"/>
      <c r="B62"/>
      <c r="C62" s="53"/>
      <c r="D62" s="12" t="str">
        <f>IF($C62="","",VLOOKUP($C62,捏造NPC!$J$27:$L$58,3,FALSE))</f>
        <v/>
      </c>
      <c r="E62" s="53"/>
      <c r="F62" s="12" t="str">
        <f t="shared" si="2"/>
        <v/>
      </c>
      <c r="G62" s="53"/>
    </row>
    <row r="63" s="12" customFormat="1" ht="16.5" spans="1:7">
      <c r="A63"/>
      <c r="B63"/>
      <c r="C63" s="53"/>
      <c r="D63" s="12" t="str">
        <f>IF($C63="","",VLOOKUP($C63,捏造NPC!$J$27:$L$58,3,FALSE))</f>
        <v/>
      </c>
      <c r="E63" s="53"/>
      <c r="F63" s="12" t="str">
        <f t="shared" si="2"/>
        <v/>
      </c>
      <c r="G63" s="53"/>
    </row>
    <row r="64" s="12" customFormat="1" ht="16.5" spans="1:7">
      <c r="A64"/>
      <c r="B64"/>
      <c r="C64" s="53"/>
      <c r="D64" s="12" t="str">
        <f>IF($C64="","",VLOOKUP($C64,捏造NPC!$J$27:$L$58,3,FALSE))</f>
        <v/>
      </c>
      <c r="E64" s="53"/>
      <c r="F64" s="12" t="str">
        <f t="shared" si="2"/>
        <v/>
      </c>
      <c r="G64" s="53"/>
    </row>
    <row r="65" s="12" customFormat="1" ht="16.5" spans="1:7">
      <c r="A65"/>
      <c r="B65"/>
      <c r="C65" s="53"/>
      <c r="D65" s="12" t="str">
        <f>IF($C65="","",VLOOKUP($C65,捏造NPC!$J$27:$L$58,3,FALSE))</f>
        <v/>
      </c>
      <c r="E65" s="53"/>
      <c r="F65" s="12" t="str">
        <f t="shared" si="2"/>
        <v/>
      </c>
      <c r="G65" s="53"/>
    </row>
    <row r="66" s="12" customFormat="1" ht="16.5" spans="1:7">
      <c r="A66"/>
      <c r="B66"/>
      <c r="C66" s="53"/>
      <c r="D66" s="12" t="str">
        <f>IF($C66="","",VLOOKUP($C66,捏造NPC!$J$27:$L$58,3,FALSE))</f>
        <v/>
      </c>
      <c r="E66" s="53"/>
      <c r="F66" s="12" t="str">
        <f t="shared" si="2"/>
        <v/>
      </c>
      <c r="G66" s="53"/>
    </row>
    <row r="67" s="12" customFormat="1" ht="16.5" spans="1:7">
      <c r="A67"/>
      <c r="B67"/>
      <c r="C67" s="53"/>
      <c r="D67" s="12" t="str">
        <f>IF($C67="","",VLOOKUP($C67,捏造NPC!$J$27:$L$58,3,FALSE))</f>
        <v/>
      </c>
      <c r="E67" s="53"/>
      <c r="F67" s="12" t="str">
        <f t="shared" si="2"/>
        <v/>
      </c>
      <c r="G67" s="53"/>
    </row>
    <row r="68" s="12" customFormat="1" ht="16.5" spans="1:7">
      <c r="A68"/>
      <c r="B68"/>
      <c r="C68" s="53"/>
      <c r="D68" s="12" t="str">
        <f>IF($C68="","",VLOOKUP($C68,捏造NPC!$J$27:$L$58,3,FALSE))</f>
        <v/>
      </c>
      <c r="E68" s="53"/>
      <c r="F68" s="12" t="str">
        <f t="shared" si="2"/>
        <v/>
      </c>
      <c r="G68" s="53"/>
    </row>
    <row r="69" s="12" customFormat="1" ht="16.5" spans="1:7">
      <c r="A69"/>
      <c r="B69"/>
      <c r="C69" s="53"/>
      <c r="D69" s="12" t="str">
        <f>IF($C69="","",VLOOKUP($C69,捏造NPC!$J$27:$L$58,3,FALSE))</f>
        <v/>
      </c>
      <c r="E69" s="53"/>
      <c r="F69" s="12" t="str">
        <f t="shared" si="2"/>
        <v/>
      </c>
      <c r="G69" s="53"/>
    </row>
    <row r="70" s="12" customFormat="1" ht="16.5" spans="1:7">
      <c r="A70"/>
      <c r="B70"/>
      <c r="C70" s="53"/>
      <c r="D70" s="12" t="str">
        <f>IF($C70="","",VLOOKUP($C70,捏造NPC!$J$27:$L$58,3,FALSE))</f>
        <v/>
      </c>
      <c r="E70" s="53"/>
      <c r="F70" s="12" t="str">
        <f t="shared" si="2"/>
        <v/>
      </c>
      <c r="G70" s="53"/>
    </row>
    <row r="71" s="12" customFormat="1" ht="16.5" spans="1:7">
      <c r="A71"/>
      <c r="B71"/>
      <c r="C71" s="53"/>
      <c r="D71" s="12" t="str">
        <f>IF($C71="","",VLOOKUP($C71,捏造NPC!$J$27:$L$58,3,FALSE))</f>
        <v/>
      </c>
      <c r="E71" s="53"/>
      <c r="F71" s="12" t="str">
        <f t="shared" si="2"/>
        <v/>
      </c>
      <c r="G71" s="53"/>
    </row>
    <row r="72" s="12" customFormat="1" ht="16.5" spans="1:7">
      <c r="A72"/>
      <c r="B72"/>
      <c r="C72" s="53"/>
      <c r="D72" s="12" t="str">
        <f>IF($C72="","",VLOOKUP($C72,捏造NPC!$J$27:$L$58,3,FALSE))</f>
        <v/>
      </c>
      <c r="E72" s="53"/>
      <c r="F72" s="12" t="str">
        <f t="shared" si="2"/>
        <v/>
      </c>
      <c r="G72" s="53"/>
    </row>
    <row r="73" s="12" customFormat="1" ht="16.5" spans="1:7">
      <c r="A73"/>
      <c r="B73"/>
      <c r="C73" s="53"/>
      <c r="D73" s="12" t="str">
        <f>IF($C73="","",VLOOKUP($C73,捏造NPC!$J$27:$L$58,3,FALSE))</f>
        <v/>
      </c>
      <c r="E73" s="53"/>
      <c r="F73" s="12" t="str">
        <f t="shared" si="2"/>
        <v/>
      </c>
      <c r="G73" s="53"/>
    </row>
    <row r="74" s="12" customFormat="1" ht="16.5" spans="1:7">
      <c r="A74"/>
      <c r="B74"/>
      <c r="C74" s="53"/>
      <c r="D74" s="12" t="str">
        <f>IF($C74="","",VLOOKUP($C74,捏造NPC!$J$27:$L$58,3,FALSE))</f>
        <v/>
      </c>
      <c r="E74" s="53"/>
      <c r="F74" s="12" t="str">
        <f t="shared" si="2"/>
        <v/>
      </c>
      <c r="G74" s="53"/>
    </row>
    <row r="75" s="12" customFormat="1" ht="16.5" spans="1:7">
      <c r="A75"/>
      <c r="B75"/>
      <c r="C75" s="53"/>
      <c r="D75" s="12" t="str">
        <f>IF($C75="","",VLOOKUP($C75,捏造NPC!$J$27:$L$58,3,FALSE))</f>
        <v/>
      </c>
      <c r="E75" s="53"/>
      <c r="F75" s="12" t="str">
        <f t="shared" si="2"/>
        <v/>
      </c>
      <c r="G75" s="53"/>
    </row>
    <row r="76" s="12" customFormat="1" ht="16.5" spans="1:7">
      <c r="A76"/>
      <c r="B76"/>
      <c r="C76" s="53"/>
      <c r="D76" s="12" t="str">
        <f>IF($C76="","",VLOOKUP($C76,捏造NPC!$J$27:$L$58,3,FALSE))</f>
        <v/>
      </c>
      <c r="E76" s="53"/>
      <c r="F76" s="12" t="str">
        <f t="shared" si="2"/>
        <v/>
      </c>
      <c r="G76" s="53"/>
    </row>
    <row r="77" s="12" customFormat="1" ht="16.5" spans="1:7">
      <c r="A77"/>
      <c r="B77"/>
      <c r="C77" s="53"/>
      <c r="D77" s="12" t="str">
        <f>IF($C77="","",VLOOKUP($C77,捏造NPC!$J$27:$L$58,3,FALSE))</f>
        <v/>
      </c>
      <c r="E77" s="53"/>
      <c r="F77" s="12" t="str">
        <f t="shared" si="2"/>
        <v/>
      </c>
      <c r="G77" s="53"/>
    </row>
    <row r="78" s="12" customFormat="1" ht="16.5" spans="1:7">
      <c r="A78"/>
      <c r="B78"/>
      <c r="C78" s="53"/>
      <c r="D78" s="12" t="str">
        <f>IF($C78="","",VLOOKUP($C78,捏造NPC!$J$27:$L$58,3,FALSE))</f>
        <v/>
      </c>
      <c r="E78" s="53"/>
      <c r="F78" s="12" t="str">
        <f t="shared" ref="F78:F109" si="3">IF($E78="特写",1,IF($E78="不动",0,""))</f>
        <v/>
      </c>
      <c r="G78" s="53"/>
    </row>
    <row r="79" s="12" customFormat="1" ht="16.5" spans="1:7">
      <c r="A79"/>
      <c r="B79"/>
      <c r="C79" s="53"/>
      <c r="D79" s="12" t="str">
        <f>IF($C79="","",VLOOKUP($C79,捏造NPC!$J$27:$L$58,3,FALSE))</f>
        <v/>
      </c>
      <c r="E79" s="53"/>
      <c r="F79" s="12" t="str">
        <f t="shared" si="3"/>
        <v/>
      </c>
      <c r="G79" s="53"/>
    </row>
    <row r="80" s="12" customFormat="1" ht="16.5" spans="1:7">
      <c r="A80"/>
      <c r="B80"/>
      <c r="C80" s="53"/>
      <c r="D80" s="12" t="str">
        <f>IF($C80="","",VLOOKUP($C80,捏造NPC!$J$27:$L$58,3,FALSE))</f>
        <v/>
      </c>
      <c r="E80" s="53"/>
      <c r="F80" s="12" t="str">
        <f t="shared" si="3"/>
        <v/>
      </c>
      <c r="G80" s="53"/>
    </row>
    <row r="81" s="12" customFormat="1" ht="16.5" spans="1:7">
      <c r="A81"/>
      <c r="B81"/>
      <c r="C81" s="53"/>
      <c r="D81" s="12" t="str">
        <f>IF($C81="","",VLOOKUP($C81,捏造NPC!$J$27:$L$58,3,FALSE))</f>
        <v/>
      </c>
      <c r="E81" s="53"/>
      <c r="F81" s="12" t="str">
        <f t="shared" si="3"/>
        <v/>
      </c>
      <c r="G81" s="53"/>
    </row>
    <row r="82" s="12" customFormat="1" ht="16.5" spans="1:7">
      <c r="A82"/>
      <c r="B82"/>
      <c r="C82" s="53"/>
      <c r="D82" s="12" t="str">
        <f>IF($C82="","",VLOOKUP($C82,捏造NPC!$J$27:$L$58,3,FALSE))</f>
        <v/>
      </c>
      <c r="E82" s="53"/>
      <c r="F82" s="12" t="str">
        <f t="shared" si="3"/>
        <v/>
      </c>
      <c r="G82" s="53"/>
    </row>
    <row r="83" s="12" customFormat="1" ht="16.5" spans="1:7">
      <c r="A83"/>
      <c r="B83"/>
      <c r="C83" s="53"/>
      <c r="D83" s="12" t="str">
        <f>IF($C83="","",VLOOKUP($C83,捏造NPC!$J$27:$L$58,3,FALSE))</f>
        <v/>
      </c>
      <c r="E83" s="53"/>
      <c r="F83" s="12" t="str">
        <f t="shared" si="3"/>
        <v/>
      </c>
      <c r="G83" s="53"/>
    </row>
    <row r="84" s="12" customFormat="1" ht="16.5" spans="1:7">
      <c r="A84"/>
      <c r="B84"/>
      <c r="C84" s="53"/>
      <c r="D84" s="12" t="str">
        <f>IF($C84="","",VLOOKUP($C84,捏造NPC!$J$27:$L$58,3,FALSE))</f>
        <v/>
      </c>
      <c r="E84" s="53"/>
      <c r="F84" s="12" t="str">
        <f t="shared" si="3"/>
        <v/>
      </c>
      <c r="G84" s="53"/>
    </row>
    <row r="85" s="12" customFormat="1" ht="16.5" spans="1:7">
      <c r="A85"/>
      <c r="B85"/>
      <c r="C85" s="53"/>
      <c r="D85" s="12" t="str">
        <f>IF($C85="","",VLOOKUP($C85,捏造NPC!$J$27:$L$58,3,FALSE))</f>
        <v/>
      </c>
      <c r="E85" s="53"/>
      <c r="F85" s="12" t="str">
        <f t="shared" si="3"/>
        <v/>
      </c>
      <c r="G85" s="53"/>
    </row>
    <row r="86" s="12" customFormat="1" ht="16.5" spans="1:7">
      <c r="A86"/>
      <c r="B86"/>
      <c r="C86" s="53"/>
      <c r="D86" s="12" t="str">
        <f>IF($C86="","",VLOOKUP($C86,捏造NPC!$J$27:$L$58,3,FALSE))</f>
        <v/>
      </c>
      <c r="E86" s="53"/>
      <c r="F86" s="12" t="str">
        <f t="shared" si="3"/>
        <v/>
      </c>
      <c r="G86" s="53"/>
    </row>
    <row r="87" s="12" customFormat="1" ht="16.5" spans="1:7">
      <c r="A87"/>
      <c r="B87"/>
      <c r="C87" s="53"/>
      <c r="D87" s="12" t="str">
        <f>IF($C87="","",VLOOKUP($C87,捏造NPC!$J$27:$L$58,3,FALSE))</f>
        <v/>
      </c>
      <c r="E87" s="53"/>
      <c r="F87" s="12" t="str">
        <f t="shared" si="3"/>
        <v/>
      </c>
      <c r="G87" s="53"/>
    </row>
    <row r="88" s="12" customFormat="1" ht="16.5" spans="1:7">
      <c r="A88"/>
      <c r="B88"/>
      <c r="C88" s="53"/>
      <c r="D88" s="12" t="str">
        <f>IF($C88="","",VLOOKUP($C88,捏造NPC!$J$27:$L$58,3,FALSE))</f>
        <v/>
      </c>
      <c r="E88" s="53"/>
      <c r="F88" s="12" t="str">
        <f t="shared" si="3"/>
        <v/>
      </c>
      <c r="G88" s="53"/>
    </row>
    <row r="89" s="12" customFormat="1" ht="16.5" spans="1:7">
      <c r="A89"/>
      <c r="B89"/>
      <c r="C89" s="53"/>
      <c r="D89" s="12" t="str">
        <f>IF($C89="","",VLOOKUP($C89,捏造NPC!$J$27:$L$58,3,FALSE))</f>
        <v/>
      </c>
      <c r="E89" s="53"/>
      <c r="F89" s="12" t="str">
        <f t="shared" si="3"/>
        <v/>
      </c>
      <c r="G89" s="53"/>
    </row>
    <row r="90" s="12" customFormat="1" ht="16.5" spans="1:7">
      <c r="A90"/>
      <c r="B90"/>
      <c r="C90" s="53"/>
      <c r="D90" s="12" t="str">
        <f>IF($C90="","",VLOOKUP($C90,捏造NPC!$J$27:$L$58,3,FALSE))</f>
        <v/>
      </c>
      <c r="E90" s="53"/>
      <c r="F90" s="12" t="str">
        <f t="shared" si="3"/>
        <v/>
      </c>
      <c r="G90" s="53"/>
    </row>
    <row r="91" s="12" customFormat="1" ht="16.5" spans="1:7">
      <c r="A91"/>
      <c r="B91"/>
      <c r="C91" s="53"/>
      <c r="D91" s="12" t="str">
        <f>IF($C91="","",VLOOKUP($C91,捏造NPC!$J$27:$L$58,3,FALSE))</f>
        <v/>
      </c>
      <c r="E91" s="53"/>
      <c r="F91" s="12" t="str">
        <f t="shared" si="3"/>
        <v/>
      </c>
      <c r="G91" s="53"/>
    </row>
    <row r="92" s="12" customFormat="1" ht="16.5" spans="1:7">
      <c r="A92"/>
      <c r="B92"/>
      <c r="C92" s="53"/>
      <c r="D92" s="12" t="str">
        <f>IF($C92="","",VLOOKUP($C92,捏造NPC!$J$27:$L$58,3,FALSE))</f>
        <v/>
      </c>
      <c r="E92" s="53"/>
      <c r="F92" s="12" t="str">
        <f t="shared" si="3"/>
        <v/>
      </c>
      <c r="G92" s="53"/>
    </row>
    <row r="93" s="12" customFormat="1" ht="16.5" spans="1:7">
      <c r="A93"/>
      <c r="B93"/>
      <c r="C93" s="53"/>
      <c r="D93" s="12" t="str">
        <f>IF($C93="","",VLOOKUP($C93,捏造NPC!$J$27:$L$58,3,FALSE))</f>
        <v/>
      </c>
      <c r="E93" s="53"/>
      <c r="F93" s="12" t="str">
        <f t="shared" si="3"/>
        <v/>
      </c>
      <c r="G93" s="53"/>
    </row>
    <row r="94" s="12" customFormat="1" ht="16.5" spans="1:7">
      <c r="A94"/>
      <c r="B94"/>
      <c r="C94" s="53"/>
      <c r="D94" s="12" t="str">
        <f>IF($C94="","",VLOOKUP($C94,捏造NPC!$J$27:$L$58,3,FALSE))</f>
        <v/>
      </c>
      <c r="E94" s="53"/>
      <c r="F94" s="12" t="str">
        <f t="shared" si="3"/>
        <v/>
      </c>
      <c r="G94" s="53"/>
    </row>
    <row r="95" s="12" customFormat="1" ht="16.5" spans="1:7">
      <c r="A95"/>
      <c r="B95"/>
      <c r="C95" s="53"/>
      <c r="D95" s="12" t="str">
        <f>IF($C95="","",VLOOKUP($C95,捏造NPC!$J$27:$L$58,3,FALSE))</f>
        <v/>
      </c>
      <c r="E95" s="53"/>
      <c r="F95" s="12" t="str">
        <f t="shared" si="3"/>
        <v/>
      </c>
      <c r="G95" s="53"/>
    </row>
    <row r="96" s="12" customFormat="1" ht="16.5" spans="1:7">
      <c r="A96"/>
      <c r="B96"/>
      <c r="C96" s="53"/>
      <c r="D96" s="12" t="str">
        <f>IF($C96="","",VLOOKUP($C96,捏造NPC!$J$27:$L$58,3,FALSE))</f>
        <v/>
      </c>
      <c r="E96" s="53"/>
      <c r="F96" s="12" t="str">
        <f t="shared" si="3"/>
        <v/>
      </c>
      <c r="G96" s="53"/>
    </row>
    <row r="97" s="12" customFormat="1" ht="16.5" spans="1:7">
      <c r="A97"/>
      <c r="B97"/>
      <c r="C97" s="53"/>
      <c r="D97" s="12" t="str">
        <f>IF($C97="","",VLOOKUP($C97,捏造NPC!$J$27:$L$58,3,FALSE))</f>
        <v/>
      </c>
      <c r="E97" s="53"/>
      <c r="F97" s="12" t="str">
        <f t="shared" si="3"/>
        <v/>
      </c>
      <c r="G97" s="53"/>
    </row>
    <row r="98" s="12" customFormat="1" ht="16.5" spans="1:7">
      <c r="A98"/>
      <c r="B98"/>
      <c r="C98" s="53"/>
      <c r="D98" s="12" t="str">
        <f>IF($C98="","",VLOOKUP($C98,捏造NPC!$J$27:$L$58,3,FALSE))</f>
        <v/>
      </c>
      <c r="E98" s="53"/>
      <c r="F98" s="12" t="str">
        <f t="shared" si="3"/>
        <v/>
      </c>
      <c r="G98" s="53"/>
    </row>
    <row r="99" s="12" customFormat="1" ht="16.5" spans="1:7">
      <c r="A99"/>
      <c r="B99"/>
      <c r="C99" s="53"/>
      <c r="D99" s="12" t="str">
        <f>IF($C99="","",VLOOKUP($C99,捏造NPC!$J$27:$L$58,3,FALSE))</f>
        <v/>
      </c>
      <c r="E99" s="53"/>
      <c r="F99" s="12" t="str">
        <f t="shared" si="3"/>
        <v/>
      </c>
      <c r="G99" s="53"/>
    </row>
    <row r="100" s="12" customFormat="1" ht="16.5" spans="1:7">
      <c r="A100"/>
      <c r="B100"/>
      <c r="C100" s="53"/>
      <c r="D100" s="12" t="str">
        <f>IF($C100="","",VLOOKUP($C100,捏造NPC!$J$27:$L$58,3,FALSE))</f>
        <v/>
      </c>
      <c r="E100" s="53"/>
      <c r="F100" s="12" t="str">
        <f t="shared" si="3"/>
        <v/>
      </c>
      <c r="G100" s="53"/>
    </row>
    <row r="101" s="12" customFormat="1" ht="16.5" spans="1:7">
      <c r="A101"/>
      <c r="B101"/>
      <c r="C101" s="53"/>
      <c r="D101" s="12" t="str">
        <f>IF($C101="","",VLOOKUP($C101,捏造NPC!$J$27:$L$58,3,FALSE))</f>
        <v/>
      </c>
      <c r="E101" s="53"/>
      <c r="F101" s="12" t="str">
        <f t="shared" si="3"/>
        <v/>
      </c>
      <c r="G101" s="53"/>
    </row>
    <row r="102" s="12" customFormat="1" ht="16.5" spans="1:7">
      <c r="A102"/>
      <c r="B102"/>
      <c r="C102" s="53"/>
      <c r="D102" s="12" t="str">
        <f>IF($C102="","",VLOOKUP($C102,捏造NPC!$J$27:$L$58,3,FALSE))</f>
        <v/>
      </c>
      <c r="E102" s="53"/>
      <c r="F102" s="12" t="str">
        <f t="shared" si="3"/>
        <v/>
      </c>
      <c r="G102" s="53"/>
    </row>
    <row r="103" s="12" customFormat="1" ht="16.5" spans="1:7">
      <c r="A103"/>
      <c r="B103"/>
      <c r="C103" s="53"/>
      <c r="D103" s="12" t="str">
        <f>IF($C103="","",VLOOKUP($C103,捏造NPC!$J$27:$L$58,3,FALSE))</f>
        <v/>
      </c>
      <c r="E103" s="53"/>
      <c r="F103" s="12" t="str">
        <f t="shared" si="3"/>
        <v/>
      </c>
      <c r="G103" s="53"/>
    </row>
    <row r="104" s="12" customFormat="1" ht="16.5" spans="1:7">
      <c r="A104"/>
      <c r="B104"/>
      <c r="C104" s="53"/>
      <c r="D104" s="12" t="str">
        <f>IF($C104="","",VLOOKUP($C104,捏造NPC!$J$27:$L$58,3,FALSE))</f>
        <v/>
      </c>
      <c r="E104" s="53"/>
      <c r="F104" s="12" t="str">
        <f t="shared" si="3"/>
        <v/>
      </c>
      <c r="G104" s="53"/>
    </row>
    <row r="105" s="12" customFormat="1" ht="16.5" spans="1:7">
      <c r="A105"/>
      <c r="B105"/>
      <c r="C105" s="53"/>
      <c r="D105" s="12" t="str">
        <f>IF($C105="","",VLOOKUP($C105,捏造NPC!$J$27:$L$58,3,FALSE))</f>
        <v/>
      </c>
      <c r="E105" s="53"/>
      <c r="F105" s="12" t="str">
        <f t="shared" si="3"/>
        <v/>
      </c>
      <c r="G105" s="53"/>
    </row>
    <row r="106" s="12" customFormat="1" ht="16.5" spans="1:7">
      <c r="A106"/>
      <c r="B106"/>
      <c r="C106" s="53"/>
      <c r="D106" s="12" t="str">
        <f>IF($C106="","",VLOOKUP($C106,捏造NPC!$J$27:$L$58,3,FALSE))</f>
        <v/>
      </c>
      <c r="E106" s="53"/>
      <c r="F106" s="12" t="str">
        <f t="shared" si="3"/>
        <v/>
      </c>
      <c r="G106" s="53"/>
    </row>
    <row r="107" s="12" customFormat="1" ht="16.5" spans="1:7">
      <c r="A107"/>
      <c r="B107"/>
      <c r="C107" s="53"/>
      <c r="D107" s="12" t="str">
        <f>IF($C107="","",VLOOKUP($C107,捏造NPC!$J$27:$L$58,3,FALSE))</f>
        <v/>
      </c>
      <c r="E107" s="53"/>
      <c r="F107" s="12" t="str">
        <f t="shared" si="3"/>
        <v/>
      </c>
      <c r="G107" s="53"/>
    </row>
    <row r="108" s="12" customFormat="1" ht="16.5" spans="1:7">
      <c r="A108"/>
      <c r="B108"/>
      <c r="C108" s="53"/>
      <c r="D108" s="12" t="str">
        <f>IF($C108="","",VLOOKUP($C108,捏造NPC!$J$27:$L$58,3,FALSE))</f>
        <v/>
      </c>
      <c r="E108" s="53"/>
      <c r="F108" s="12" t="str">
        <f t="shared" si="3"/>
        <v/>
      </c>
      <c r="G108" s="53"/>
    </row>
    <row r="109" s="12" customFormat="1" ht="16.5" spans="1:7">
      <c r="A109"/>
      <c r="B109"/>
      <c r="C109" s="53"/>
      <c r="D109" s="12" t="str">
        <f>IF($C109="","",VLOOKUP($C109,捏造NPC!$J$27:$L$58,3,FALSE))</f>
        <v/>
      </c>
      <c r="E109" s="53"/>
      <c r="F109" s="12" t="str">
        <f t="shared" si="3"/>
        <v/>
      </c>
      <c r="G109" s="53"/>
    </row>
    <row r="110" s="12" customFormat="1" ht="16.5" spans="1:7">
      <c r="A110"/>
      <c r="B110"/>
      <c r="C110" s="53"/>
      <c r="D110" s="12" t="str">
        <f>IF($C110="","",VLOOKUP($C110,捏造NPC!$J$27:$L$58,3,FALSE))</f>
        <v/>
      </c>
      <c r="E110" s="53"/>
      <c r="F110" s="12" t="str">
        <f t="shared" ref="F110:F141" si="4">IF($E110="特写",1,IF($E110="不动",0,""))</f>
        <v/>
      </c>
      <c r="G110" s="53"/>
    </row>
    <row r="111" s="12" customFormat="1" ht="16.5" spans="1:7">
      <c r="A111"/>
      <c r="B111"/>
      <c r="C111" s="53"/>
      <c r="D111" s="12" t="str">
        <f>IF($C111="","",VLOOKUP($C111,捏造NPC!$J$27:$L$58,3,FALSE))</f>
        <v/>
      </c>
      <c r="E111" s="53"/>
      <c r="F111" s="12" t="str">
        <f t="shared" si="4"/>
        <v/>
      </c>
      <c r="G111" s="53"/>
    </row>
    <row r="112" s="12" customFormat="1" ht="16.5" spans="1:7">
      <c r="A112"/>
      <c r="B112"/>
      <c r="C112" s="53"/>
      <c r="D112" s="12" t="str">
        <f>IF($C112="","",VLOOKUP($C112,捏造NPC!$J$27:$L$58,3,FALSE))</f>
        <v/>
      </c>
      <c r="E112" s="53"/>
      <c r="F112" s="12" t="str">
        <f t="shared" si="4"/>
        <v/>
      </c>
      <c r="G112" s="53"/>
    </row>
    <row r="113" s="12" customFormat="1" ht="16.5" spans="1:7">
      <c r="A113"/>
      <c r="B113"/>
      <c r="C113" s="53"/>
      <c r="D113" s="12" t="str">
        <f>IF($C113="","",VLOOKUP($C113,捏造NPC!$J$27:$L$58,3,FALSE))</f>
        <v/>
      </c>
      <c r="E113" s="53"/>
      <c r="F113" s="12" t="str">
        <f t="shared" si="4"/>
        <v/>
      </c>
      <c r="G113" s="53"/>
    </row>
    <row r="114" s="12" customFormat="1" ht="16.5" spans="1:7">
      <c r="A114"/>
      <c r="B114"/>
      <c r="C114" s="53"/>
      <c r="D114" s="12" t="str">
        <f>IF($C114="","",VLOOKUP($C114,捏造NPC!$J$27:$L$58,3,FALSE))</f>
        <v/>
      </c>
      <c r="E114" s="53"/>
      <c r="F114" s="12" t="str">
        <f t="shared" si="4"/>
        <v/>
      </c>
      <c r="G114" s="53"/>
    </row>
    <row r="115" s="12" customFormat="1" ht="16.5" spans="1:7">
      <c r="A115"/>
      <c r="B115"/>
      <c r="C115" s="53"/>
      <c r="D115" s="12" t="str">
        <f>IF($C115="","",VLOOKUP($C115,捏造NPC!$J$27:$L$58,3,FALSE))</f>
        <v/>
      </c>
      <c r="E115" s="53"/>
      <c r="F115" s="12" t="str">
        <f t="shared" si="4"/>
        <v/>
      </c>
      <c r="G115" s="53"/>
    </row>
    <row r="116" s="12" customFormat="1" ht="16.5" spans="1:7">
      <c r="A116"/>
      <c r="B116"/>
      <c r="C116" s="53"/>
      <c r="D116" s="12" t="str">
        <f>IF($C116="","",VLOOKUP($C116,捏造NPC!$J$27:$L$58,3,FALSE))</f>
        <v/>
      </c>
      <c r="E116" s="53"/>
      <c r="F116" s="12" t="str">
        <f t="shared" si="4"/>
        <v/>
      </c>
      <c r="G116" s="53"/>
    </row>
    <row r="117" s="12" customFormat="1" ht="16.5" spans="1:7">
      <c r="A117"/>
      <c r="B117"/>
      <c r="C117" s="53"/>
      <c r="D117" s="12" t="str">
        <f>IF($C117="","",VLOOKUP($C117,捏造NPC!$J$27:$L$58,3,FALSE))</f>
        <v/>
      </c>
      <c r="E117" s="53"/>
      <c r="F117" s="12" t="str">
        <f t="shared" si="4"/>
        <v/>
      </c>
      <c r="G117" s="53"/>
    </row>
    <row r="118" s="12" customFormat="1" ht="16.5" spans="1:7">
      <c r="A118"/>
      <c r="B118"/>
      <c r="C118" s="53"/>
      <c r="D118" s="12" t="str">
        <f>IF($C118="","",VLOOKUP($C118,捏造NPC!$J$27:$L$58,3,FALSE))</f>
        <v/>
      </c>
      <c r="E118" s="53"/>
      <c r="F118" s="12" t="str">
        <f t="shared" si="4"/>
        <v/>
      </c>
      <c r="G118" s="53"/>
    </row>
    <row r="119" s="12" customFormat="1" ht="16.5" spans="1:7">
      <c r="A119"/>
      <c r="B119"/>
      <c r="C119" s="53"/>
      <c r="D119" s="12" t="str">
        <f>IF($C119="","",VLOOKUP($C119,捏造NPC!$J$27:$L$58,3,FALSE))</f>
        <v/>
      </c>
      <c r="E119" s="53"/>
      <c r="F119" s="12" t="str">
        <f t="shared" si="4"/>
        <v/>
      </c>
      <c r="G119" s="53"/>
    </row>
    <row r="120" s="12" customFormat="1" ht="16.5" spans="1:7">
      <c r="A120"/>
      <c r="B120"/>
      <c r="C120" s="53"/>
      <c r="D120" s="12" t="str">
        <f>IF($C120="","",VLOOKUP($C120,捏造NPC!$J$27:$L$58,3,FALSE))</f>
        <v/>
      </c>
      <c r="E120" s="53"/>
      <c r="F120" s="12" t="str">
        <f t="shared" si="4"/>
        <v/>
      </c>
      <c r="G120" s="53"/>
    </row>
    <row r="121" s="12" customFormat="1" ht="16.5" spans="1:7">
      <c r="A121"/>
      <c r="B121"/>
      <c r="C121" s="53"/>
      <c r="D121" s="12" t="str">
        <f>IF($C121="","",VLOOKUP($C121,捏造NPC!$J$27:$L$58,3,FALSE))</f>
        <v/>
      </c>
      <c r="E121" s="53"/>
      <c r="F121" s="12" t="str">
        <f t="shared" si="4"/>
        <v/>
      </c>
      <c r="G121" s="53"/>
    </row>
    <row r="122" s="12" customFormat="1" ht="16.5" spans="1:7">
      <c r="A122"/>
      <c r="B122"/>
      <c r="C122" s="53"/>
      <c r="D122" s="12" t="str">
        <f>IF($C122="","",VLOOKUP($C122,捏造NPC!$J$27:$L$58,3,FALSE))</f>
        <v/>
      </c>
      <c r="E122" s="53"/>
      <c r="F122" s="12" t="str">
        <f t="shared" si="4"/>
        <v/>
      </c>
      <c r="G122" s="53"/>
    </row>
    <row r="123" s="12" customFormat="1" ht="16.5" spans="1:7">
      <c r="A123"/>
      <c r="B123"/>
      <c r="C123" s="53"/>
      <c r="D123" s="12" t="str">
        <f>IF($C123="","",VLOOKUP($C123,捏造NPC!$J$27:$L$58,3,FALSE))</f>
        <v/>
      </c>
      <c r="E123" s="53"/>
      <c r="F123" s="12" t="str">
        <f t="shared" si="4"/>
        <v/>
      </c>
      <c r="G123" s="53"/>
    </row>
    <row r="124" s="12" customFormat="1" ht="16.5" spans="1:7">
      <c r="A124"/>
      <c r="B124"/>
      <c r="C124" s="53"/>
      <c r="D124" s="12" t="str">
        <f>IF($C124="","",VLOOKUP($C124,捏造NPC!$J$27:$L$58,3,FALSE))</f>
        <v/>
      </c>
      <c r="E124" s="53"/>
      <c r="F124" s="12" t="str">
        <f t="shared" si="4"/>
        <v/>
      </c>
      <c r="G124" s="53"/>
    </row>
    <row r="125" s="12" customFormat="1" ht="16.5" spans="1:7">
      <c r="A125"/>
      <c r="B125"/>
      <c r="C125" s="53"/>
      <c r="D125" s="12" t="str">
        <f>IF($C125="","",VLOOKUP($C125,捏造NPC!$J$27:$L$58,3,FALSE))</f>
        <v/>
      </c>
      <c r="E125" s="53"/>
      <c r="F125" s="12" t="str">
        <f t="shared" si="4"/>
        <v/>
      </c>
      <c r="G125" s="53"/>
    </row>
    <row r="126" s="12" customFormat="1" ht="16.5" spans="1:7">
      <c r="A126"/>
      <c r="B126"/>
      <c r="C126" s="53"/>
      <c r="D126" s="12" t="str">
        <f>IF($C126="","",VLOOKUP($C126,捏造NPC!$J$27:$L$58,3,FALSE))</f>
        <v/>
      </c>
      <c r="E126" s="53"/>
      <c r="F126" s="12" t="str">
        <f t="shared" si="4"/>
        <v/>
      </c>
      <c r="G126" s="53"/>
    </row>
    <row r="127" s="12" customFormat="1" ht="16.5" spans="1:7">
      <c r="A127"/>
      <c r="B127"/>
      <c r="C127" s="53"/>
      <c r="D127" s="12" t="str">
        <f>IF($C127="","",VLOOKUP($C127,捏造NPC!$J$27:$L$58,3,FALSE))</f>
        <v/>
      </c>
      <c r="E127" s="53"/>
      <c r="F127" s="12" t="str">
        <f t="shared" si="4"/>
        <v/>
      </c>
      <c r="G127" s="53"/>
    </row>
    <row r="128" s="12" customFormat="1" ht="16.5" spans="1:7">
      <c r="A128"/>
      <c r="B128"/>
      <c r="C128" s="53"/>
      <c r="D128" s="12" t="str">
        <f>IF($C128="","",VLOOKUP($C128,捏造NPC!$J$27:$L$58,3,FALSE))</f>
        <v/>
      </c>
      <c r="E128" s="53"/>
      <c r="F128" s="12" t="str">
        <f t="shared" si="4"/>
        <v/>
      </c>
      <c r="G128" s="53"/>
    </row>
    <row r="129" s="12" customFormat="1" ht="16.5" spans="1:7">
      <c r="A129"/>
      <c r="B129"/>
      <c r="C129" s="53"/>
      <c r="D129" s="12" t="str">
        <f>IF($C129="","",VLOOKUP($C129,捏造NPC!$J$27:$L$58,3,FALSE))</f>
        <v/>
      </c>
      <c r="E129" s="53"/>
      <c r="F129" s="12" t="str">
        <f t="shared" si="4"/>
        <v/>
      </c>
      <c r="G129" s="53"/>
    </row>
    <row r="130" s="12" customFormat="1" ht="16.5" spans="1:7">
      <c r="A130"/>
      <c r="B130"/>
      <c r="C130" s="53"/>
      <c r="D130" s="12" t="str">
        <f>IF($C130="","",VLOOKUP($C130,捏造NPC!$J$27:$L$58,3,FALSE))</f>
        <v/>
      </c>
      <c r="E130" s="53"/>
      <c r="F130" s="12" t="str">
        <f t="shared" si="4"/>
        <v/>
      </c>
      <c r="G130" s="53"/>
    </row>
    <row r="131" s="12" customFormat="1" ht="16.5" spans="1:7">
      <c r="A131"/>
      <c r="B131"/>
      <c r="C131" s="53"/>
      <c r="D131" s="12" t="str">
        <f>IF($C131="","",VLOOKUP($C131,捏造NPC!$J$27:$L$58,3,FALSE))</f>
        <v/>
      </c>
      <c r="E131" s="53"/>
      <c r="F131" s="12" t="str">
        <f t="shared" si="4"/>
        <v/>
      </c>
      <c r="G131" s="53"/>
    </row>
    <row r="132" s="12" customFormat="1" ht="16.5" spans="1:7">
      <c r="A132"/>
      <c r="B132"/>
      <c r="C132" s="53"/>
      <c r="D132" s="12" t="str">
        <f>IF($C132="","",VLOOKUP($C132,捏造NPC!$J$27:$L$58,3,FALSE))</f>
        <v/>
      </c>
      <c r="E132" s="53"/>
      <c r="F132" s="12" t="str">
        <f t="shared" si="4"/>
        <v/>
      </c>
      <c r="G132" s="53"/>
    </row>
    <row r="133" s="12" customFormat="1" ht="16.5" spans="1:7">
      <c r="A133"/>
      <c r="B133"/>
      <c r="C133" s="53"/>
      <c r="D133" s="12" t="str">
        <f>IF($C133="","",VLOOKUP($C133,捏造NPC!$J$27:$L$58,3,FALSE))</f>
        <v/>
      </c>
      <c r="E133" s="53"/>
      <c r="F133" s="12" t="str">
        <f t="shared" si="4"/>
        <v/>
      </c>
      <c r="G133" s="53"/>
    </row>
    <row r="134" s="12" customFormat="1" ht="16.5" spans="1:7">
      <c r="A134"/>
      <c r="B134"/>
      <c r="C134" s="53"/>
      <c r="D134" s="12" t="str">
        <f>IF($C134="","",VLOOKUP($C134,捏造NPC!$J$27:$L$58,3,FALSE))</f>
        <v/>
      </c>
      <c r="E134" s="53"/>
      <c r="F134" s="12" t="str">
        <f t="shared" si="4"/>
        <v/>
      </c>
      <c r="G134" s="53"/>
    </row>
    <row r="135" s="12" customFormat="1" ht="16.5" spans="1:7">
      <c r="A135"/>
      <c r="B135"/>
      <c r="C135" s="53"/>
      <c r="D135" s="12" t="str">
        <f>IF($C135="","",VLOOKUP($C135,捏造NPC!$J$27:$L$58,3,FALSE))</f>
        <v/>
      </c>
      <c r="E135" s="53"/>
      <c r="F135" s="12" t="str">
        <f t="shared" si="4"/>
        <v/>
      </c>
      <c r="G135" s="53"/>
    </row>
    <row r="136" s="12" customFormat="1" ht="16.5" spans="1:7">
      <c r="A136"/>
      <c r="B136"/>
      <c r="C136" s="53"/>
      <c r="D136" s="12" t="str">
        <f>IF($C136="","",VLOOKUP($C136,捏造NPC!$J$27:$L$58,3,FALSE))</f>
        <v/>
      </c>
      <c r="E136" s="53"/>
      <c r="F136" s="12" t="str">
        <f t="shared" si="4"/>
        <v/>
      </c>
      <c r="G136" s="53"/>
    </row>
    <row r="137" s="12" customFormat="1" ht="16.5" spans="1:7">
      <c r="A137"/>
      <c r="B137"/>
      <c r="C137" s="53"/>
      <c r="D137" s="12" t="str">
        <f>IF($C137="","",VLOOKUP($C137,捏造NPC!$J$27:$L$58,3,FALSE))</f>
        <v/>
      </c>
      <c r="E137" s="53"/>
      <c r="F137" s="12" t="str">
        <f t="shared" si="4"/>
        <v/>
      </c>
      <c r="G137" s="53"/>
    </row>
    <row r="138" s="12" customFormat="1" ht="16.5" spans="1:7">
      <c r="A138"/>
      <c r="B138"/>
      <c r="C138" s="53"/>
      <c r="D138" s="12" t="str">
        <f>IF($C138="","",VLOOKUP($C138,捏造NPC!$J$27:$L$58,3,FALSE))</f>
        <v/>
      </c>
      <c r="E138" s="53"/>
      <c r="F138" s="12" t="str">
        <f t="shared" si="4"/>
        <v/>
      </c>
      <c r="G138" s="53"/>
    </row>
    <row r="139" s="12" customFormat="1" ht="16.5" spans="1:7">
      <c r="A139"/>
      <c r="B139"/>
      <c r="C139" s="53"/>
      <c r="D139" s="12" t="str">
        <f>IF($C139="","",VLOOKUP($C139,捏造NPC!$J$27:$L$58,3,FALSE))</f>
        <v/>
      </c>
      <c r="E139" s="53"/>
      <c r="F139" s="12" t="str">
        <f t="shared" si="4"/>
        <v/>
      </c>
      <c r="G139" s="53"/>
    </row>
    <row r="140" s="12" customFormat="1" ht="16.5" spans="1:7">
      <c r="A140"/>
      <c r="B140"/>
      <c r="C140" s="53"/>
      <c r="D140" s="12" t="str">
        <f>IF($C140="","",VLOOKUP($C140,捏造NPC!$J$27:$L$58,3,FALSE))</f>
        <v/>
      </c>
      <c r="E140" s="53"/>
      <c r="F140" s="12" t="str">
        <f t="shared" si="4"/>
        <v/>
      </c>
      <c r="G140" s="53"/>
    </row>
    <row r="141" s="12" customFormat="1" ht="16.5" spans="1:7">
      <c r="A141"/>
      <c r="B141"/>
      <c r="C141" s="53"/>
      <c r="D141" s="12" t="str">
        <f>IF($C141="","",VLOOKUP($C141,捏造NPC!$J$27:$L$58,3,FALSE))</f>
        <v/>
      </c>
      <c r="E141" s="53"/>
      <c r="F141" s="12" t="str">
        <f t="shared" si="4"/>
        <v/>
      </c>
      <c r="G141" s="53"/>
    </row>
    <row r="142" s="12" customFormat="1" ht="16.5" spans="1:7">
      <c r="A142"/>
      <c r="B142"/>
      <c r="C142" s="53"/>
      <c r="D142" s="12" t="str">
        <f>IF($C142="","",VLOOKUP($C142,捏造NPC!$J$27:$L$58,3,FALSE))</f>
        <v/>
      </c>
      <c r="E142" s="53"/>
      <c r="F142" s="12" t="str">
        <f t="shared" ref="F142:F173" si="5">IF($E142="特写",1,IF($E142="不动",0,""))</f>
        <v/>
      </c>
      <c r="G142" s="53"/>
    </row>
    <row r="143" s="12" customFormat="1" ht="16.5" spans="1:7">
      <c r="A143"/>
      <c r="B143"/>
      <c r="C143" s="53"/>
      <c r="D143" s="12" t="str">
        <f>IF($C143="","",VLOOKUP($C143,捏造NPC!$J$27:$L$58,3,FALSE))</f>
        <v/>
      </c>
      <c r="E143" s="53"/>
      <c r="F143" s="12" t="str">
        <f t="shared" si="5"/>
        <v/>
      </c>
      <c r="G143" s="53"/>
    </row>
    <row r="144" s="12" customFormat="1" ht="16.5" spans="1:7">
      <c r="A144"/>
      <c r="B144"/>
      <c r="C144" s="53"/>
      <c r="D144" s="12" t="str">
        <f>IF($C144="","",VLOOKUP($C144,捏造NPC!$J$27:$L$58,3,FALSE))</f>
        <v/>
      </c>
      <c r="E144" s="53"/>
      <c r="F144" s="12" t="str">
        <f t="shared" si="5"/>
        <v/>
      </c>
      <c r="G144" s="53"/>
    </row>
    <row r="145" s="12" customFormat="1" ht="16.5" spans="1:7">
      <c r="A145"/>
      <c r="B145"/>
      <c r="C145" s="53"/>
      <c r="D145" s="12" t="str">
        <f>IF($C145="","",VLOOKUP($C145,捏造NPC!$J$27:$L$58,3,FALSE))</f>
        <v/>
      </c>
      <c r="E145" s="53"/>
      <c r="F145" s="12" t="str">
        <f t="shared" si="5"/>
        <v/>
      </c>
      <c r="G145" s="53"/>
    </row>
    <row r="146" s="12" customFormat="1" ht="16.5" spans="1:7">
      <c r="A146"/>
      <c r="B146"/>
      <c r="C146" s="53"/>
      <c r="D146" s="12" t="str">
        <f>IF($C146="","",VLOOKUP($C146,捏造NPC!$J$27:$L$58,3,FALSE))</f>
        <v/>
      </c>
      <c r="E146" s="53"/>
      <c r="F146" s="12" t="str">
        <f t="shared" si="5"/>
        <v/>
      </c>
      <c r="G146" s="53"/>
    </row>
    <row r="147" s="12" customFormat="1" ht="16.5" spans="1:7">
      <c r="A147"/>
      <c r="B147"/>
      <c r="C147" s="53"/>
      <c r="D147" s="12" t="str">
        <f>IF($C147="","",VLOOKUP($C147,捏造NPC!$J$27:$L$58,3,FALSE))</f>
        <v/>
      </c>
      <c r="E147" s="53"/>
      <c r="F147" s="12" t="str">
        <f t="shared" si="5"/>
        <v/>
      </c>
      <c r="G147" s="53"/>
    </row>
    <row r="148" s="12" customFormat="1" ht="16.5" spans="1:7">
      <c r="A148"/>
      <c r="B148"/>
      <c r="C148" s="53"/>
      <c r="D148" s="12" t="str">
        <f>IF($C148="","",VLOOKUP($C148,捏造NPC!$J$27:$L$58,3,FALSE))</f>
        <v/>
      </c>
      <c r="E148" s="53"/>
      <c r="F148" s="12" t="str">
        <f t="shared" si="5"/>
        <v/>
      </c>
      <c r="G148" s="53"/>
    </row>
    <row r="149" s="12" customFormat="1" ht="16.5" spans="1:7">
      <c r="A149"/>
      <c r="B149"/>
      <c r="C149" s="53"/>
      <c r="D149" s="12" t="str">
        <f>IF($C149="","",VLOOKUP($C149,捏造NPC!$J$27:$L$58,3,FALSE))</f>
        <v/>
      </c>
      <c r="E149" s="53"/>
      <c r="F149" s="12" t="str">
        <f t="shared" si="5"/>
        <v/>
      </c>
      <c r="G149" s="53"/>
    </row>
    <row r="150" s="12" customFormat="1" ht="16.5" spans="1:7">
      <c r="A150"/>
      <c r="B150"/>
      <c r="C150" s="53"/>
      <c r="D150" s="12" t="str">
        <f>IF($C150="","",VLOOKUP($C150,捏造NPC!$J$27:$L$58,3,FALSE))</f>
        <v/>
      </c>
      <c r="E150" s="53"/>
      <c r="F150" s="12" t="str">
        <f t="shared" si="5"/>
        <v/>
      </c>
      <c r="G150" s="53"/>
    </row>
    <row r="151" s="12" customFormat="1" ht="16.5" spans="1:7">
      <c r="A151"/>
      <c r="B151"/>
      <c r="C151" s="53"/>
      <c r="D151" s="12" t="str">
        <f>IF($C151="","",VLOOKUP($C151,捏造NPC!$J$27:$L$58,3,FALSE))</f>
        <v/>
      </c>
      <c r="E151" s="53"/>
      <c r="F151" s="12" t="str">
        <f t="shared" si="5"/>
        <v/>
      </c>
      <c r="G151" s="53"/>
    </row>
    <row r="152" s="12" customFormat="1" ht="16.5" spans="1:7">
      <c r="A152"/>
      <c r="B152"/>
      <c r="C152" s="53"/>
      <c r="D152" s="12" t="str">
        <f>IF($C152="","",VLOOKUP($C152,捏造NPC!$J$27:$L$58,3,FALSE))</f>
        <v/>
      </c>
      <c r="E152" s="53"/>
      <c r="F152" s="12" t="str">
        <f t="shared" si="5"/>
        <v/>
      </c>
      <c r="G152" s="53"/>
    </row>
    <row r="153" s="12" customFormat="1" ht="16.5" spans="1:7">
      <c r="A153"/>
      <c r="B153"/>
      <c r="C153" s="53"/>
      <c r="D153" s="12" t="str">
        <f>IF($C153="","",VLOOKUP($C153,捏造NPC!$J$27:$L$58,3,FALSE))</f>
        <v/>
      </c>
      <c r="E153" s="53"/>
      <c r="F153" s="12" t="str">
        <f t="shared" si="5"/>
        <v/>
      </c>
      <c r="G153" s="53"/>
    </row>
    <row r="154" s="12" customFormat="1" ht="16.5" spans="1:7">
      <c r="A154"/>
      <c r="B154"/>
      <c r="C154" s="53"/>
      <c r="D154" s="12" t="str">
        <f>IF($C154="","",VLOOKUP($C154,捏造NPC!$J$27:$L$58,3,FALSE))</f>
        <v/>
      </c>
      <c r="E154" s="53"/>
      <c r="F154" s="12" t="str">
        <f t="shared" si="5"/>
        <v/>
      </c>
      <c r="G154" s="53"/>
    </row>
    <row r="155" s="12" customFormat="1" ht="16.5" spans="1:7">
      <c r="A155"/>
      <c r="B155"/>
      <c r="C155" s="53"/>
      <c r="D155" s="12" t="str">
        <f>IF($C155="","",VLOOKUP($C155,捏造NPC!$J$27:$L$58,3,FALSE))</f>
        <v/>
      </c>
      <c r="E155" s="53"/>
      <c r="F155" s="12" t="str">
        <f t="shared" si="5"/>
        <v/>
      </c>
      <c r="G155" s="53"/>
    </row>
    <row r="156" s="12" customFormat="1" ht="16.5" spans="1:7">
      <c r="A156"/>
      <c r="B156"/>
      <c r="C156" s="53"/>
      <c r="D156" s="12" t="str">
        <f>IF($C156="","",VLOOKUP($C156,捏造NPC!$J$27:$L$58,3,FALSE))</f>
        <v/>
      </c>
      <c r="E156" s="53"/>
      <c r="F156" s="12" t="str">
        <f t="shared" si="5"/>
        <v/>
      </c>
      <c r="G156" s="53"/>
    </row>
    <row r="157" s="12" customFormat="1" ht="16.5" spans="1:7">
      <c r="A157"/>
      <c r="B157"/>
      <c r="C157" s="53"/>
      <c r="D157" s="12" t="str">
        <f>IF($C157="","",VLOOKUP($C157,捏造NPC!$J$27:$L$58,3,FALSE))</f>
        <v/>
      </c>
      <c r="E157" s="53"/>
      <c r="F157" s="12" t="str">
        <f t="shared" si="5"/>
        <v/>
      </c>
      <c r="G157" s="53"/>
    </row>
    <row r="158" s="12" customFormat="1" ht="16.5" spans="1:7">
      <c r="A158"/>
      <c r="B158"/>
      <c r="C158" s="53"/>
      <c r="D158" s="12" t="str">
        <f>IF($C158="","",VLOOKUP($C158,捏造NPC!$J$27:$L$58,3,FALSE))</f>
        <v/>
      </c>
      <c r="E158" s="53"/>
      <c r="F158" s="12" t="str">
        <f t="shared" si="5"/>
        <v/>
      </c>
      <c r="G158" s="53"/>
    </row>
    <row r="159" s="12" customFormat="1" ht="16.5" spans="1:7">
      <c r="A159"/>
      <c r="B159"/>
      <c r="C159" s="53"/>
      <c r="D159" s="12" t="str">
        <f>IF($C159="","",VLOOKUP($C159,捏造NPC!$J$27:$L$58,3,FALSE))</f>
        <v/>
      </c>
      <c r="E159" s="53"/>
      <c r="F159" s="12" t="str">
        <f t="shared" si="5"/>
        <v/>
      </c>
      <c r="G159" s="53"/>
    </row>
    <row r="160" s="12" customFormat="1" ht="16.5" spans="1:7">
      <c r="A160"/>
      <c r="B160"/>
      <c r="C160" s="53"/>
      <c r="D160" s="12" t="str">
        <f>IF($C160="","",VLOOKUP($C160,捏造NPC!$J$27:$L$58,3,FALSE))</f>
        <v/>
      </c>
      <c r="E160" s="53"/>
      <c r="F160" s="12" t="str">
        <f t="shared" si="5"/>
        <v/>
      </c>
      <c r="G160" s="53"/>
    </row>
    <row r="161" s="12" customFormat="1" ht="16.5" spans="1:7">
      <c r="A161"/>
      <c r="B161"/>
      <c r="C161" s="53"/>
      <c r="D161" s="12" t="str">
        <f>IF($C161="","",VLOOKUP($C161,捏造NPC!$J$27:$L$58,3,FALSE))</f>
        <v/>
      </c>
      <c r="E161" s="53"/>
      <c r="F161" s="12" t="str">
        <f t="shared" si="5"/>
        <v/>
      </c>
      <c r="G161" s="53"/>
    </row>
    <row r="162" s="12" customFormat="1" ht="16.5" spans="1:7">
      <c r="A162"/>
      <c r="B162"/>
      <c r="C162" s="53"/>
      <c r="D162" s="12" t="str">
        <f>IF($C162="","",VLOOKUP($C162,捏造NPC!$J$27:$L$58,3,FALSE))</f>
        <v/>
      </c>
      <c r="E162" s="53"/>
      <c r="F162" s="12" t="str">
        <f t="shared" si="5"/>
        <v/>
      </c>
      <c r="G162" s="53"/>
    </row>
    <row r="163" s="12" customFormat="1" ht="16.5" spans="1:7">
      <c r="A163"/>
      <c r="B163"/>
      <c r="C163" s="53"/>
      <c r="D163" s="12" t="str">
        <f>IF($C163="","",VLOOKUP($C163,捏造NPC!$J$27:$L$58,3,FALSE))</f>
        <v/>
      </c>
      <c r="E163" s="53"/>
      <c r="F163" s="12" t="str">
        <f t="shared" si="5"/>
        <v/>
      </c>
      <c r="G163" s="53"/>
    </row>
    <row r="164" s="12" customFormat="1" ht="16.5" spans="1:7">
      <c r="A164"/>
      <c r="B164"/>
      <c r="C164" s="53"/>
      <c r="D164" s="12" t="str">
        <f>IF($C164="","",VLOOKUP($C164,捏造NPC!$J$27:$L$58,3,FALSE))</f>
        <v/>
      </c>
      <c r="E164" s="53"/>
      <c r="F164" s="12" t="str">
        <f t="shared" si="5"/>
        <v/>
      </c>
      <c r="G164" s="53"/>
    </row>
    <row r="165" s="12" customFormat="1" ht="16.5" spans="1:7">
      <c r="A165"/>
      <c r="B165"/>
      <c r="C165" s="53"/>
      <c r="D165" s="12" t="str">
        <f>IF($C165="","",VLOOKUP($C165,捏造NPC!$J$27:$L$58,3,FALSE))</f>
        <v/>
      </c>
      <c r="E165" s="53"/>
      <c r="F165" s="12" t="str">
        <f t="shared" si="5"/>
        <v/>
      </c>
      <c r="G165" s="53"/>
    </row>
    <row r="166" s="12" customFormat="1" ht="16.5" spans="1:7">
      <c r="A166"/>
      <c r="B166"/>
      <c r="C166" s="53"/>
      <c r="D166" s="12" t="str">
        <f>IF($C166="","",VLOOKUP($C166,捏造NPC!$J$27:$L$58,3,FALSE))</f>
        <v/>
      </c>
      <c r="E166" s="53"/>
      <c r="F166" s="12" t="str">
        <f t="shared" si="5"/>
        <v/>
      </c>
      <c r="G166" s="53"/>
    </row>
    <row r="167" s="12" customFormat="1" ht="16.5" spans="1:7">
      <c r="A167"/>
      <c r="B167"/>
      <c r="C167" s="53"/>
      <c r="D167" s="12" t="str">
        <f>IF($C167="","",VLOOKUP($C167,捏造NPC!$J$27:$L$58,3,FALSE))</f>
        <v/>
      </c>
      <c r="E167" s="53"/>
      <c r="F167" s="12" t="str">
        <f t="shared" si="5"/>
        <v/>
      </c>
      <c r="G167" s="53"/>
    </row>
    <row r="168" s="12" customFormat="1" ht="16.5" spans="1:7">
      <c r="A168"/>
      <c r="B168"/>
      <c r="C168" s="53"/>
      <c r="D168" s="12" t="str">
        <f>IF($C168="","",VLOOKUP($C168,捏造NPC!$J$27:$L$58,3,FALSE))</f>
        <v/>
      </c>
      <c r="E168" s="53"/>
      <c r="F168" s="12" t="str">
        <f t="shared" si="5"/>
        <v/>
      </c>
      <c r="G168" s="53"/>
    </row>
    <row r="169" s="12" customFormat="1" ht="16.5" spans="1:7">
      <c r="A169"/>
      <c r="B169"/>
      <c r="C169" s="53"/>
      <c r="D169" s="12" t="str">
        <f>IF($C169="","",VLOOKUP($C169,捏造NPC!$J$27:$L$58,3,FALSE))</f>
        <v/>
      </c>
      <c r="E169" s="53"/>
      <c r="F169" s="12" t="str">
        <f t="shared" si="5"/>
        <v/>
      </c>
      <c r="G169" s="53"/>
    </row>
    <row r="170" s="12" customFormat="1" ht="16.5" spans="1:7">
      <c r="A170"/>
      <c r="B170"/>
      <c r="C170" s="53"/>
      <c r="D170" s="12" t="str">
        <f>IF($C170="","",VLOOKUP($C170,捏造NPC!$J$27:$L$58,3,FALSE))</f>
        <v/>
      </c>
      <c r="E170" s="53"/>
      <c r="F170" s="12" t="str">
        <f t="shared" si="5"/>
        <v/>
      </c>
      <c r="G170" s="53"/>
    </row>
    <row r="171" s="12" customFormat="1" ht="16.5" spans="1:7">
      <c r="A171"/>
      <c r="B171"/>
      <c r="C171" s="53"/>
      <c r="D171" s="12" t="str">
        <f>IF($C171="","",VLOOKUP($C171,捏造NPC!$J$27:$L$58,3,FALSE))</f>
        <v/>
      </c>
      <c r="E171" s="53"/>
      <c r="F171" s="12" t="str">
        <f t="shared" si="5"/>
        <v/>
      </c>
      <c r="G171" s="53"/>
    </row>
    <row r="172" s="12" customFormat="1" ht="16.5" spans="1:7">
      <c r="A172"/>
      <c r="B172"/>
      <c r="C172" s="53"/>
      <c r="D172" s="12" t="str">
        <f>IF($C172="","",VLOOKUP($C172,捏造NPC!$J$27:$L$58,3,FALSE))</f>
        <v/>
      </c>
      <c r="E172" s="53"/>
      <c r="F172" s="12" t="str">
        <f t="shared" si="5"/>
        <v/>
      </c>
      <c r="G172" s="53"/>
    </row>
    <row r="173" s="12" customFormat="1" ht="16.5" spans="1:7">
      <c r="A173"/>
      <c r="B173"/>
      <c r="C173" s="53"/>
      <c r="D173" s="12" t="str">
        <f>IF($C173="","",VLOOKUP($C173,捏造NPC!$J$27:$L$58,3,FALSE))</f>
        <v/>
      </c>
      <c r="E173" s="53"/>
      <c r="F173" s="12" t="str">
        <f t="shared" si="5"/>
        <v/>
      </c>
      <c r="G173" s="53"/>
    </row>
    <row r="174" s="12" customFormat="1" ht="16.5" spans="1:7">
      <c r="A174"/>
      <c r="B174"/>
      <c r="C174" s="53"/>
      <c r="D174" s="12" t="str">
        <f>IF($C174="","",VLOOKUP($C174,捏造NPC!$J$27:$L$58,3,FALSE))</f>
        <v/>
      </c>
      <c r="E174" s="53"/>
      <c r="F174" s="12" t="str">
        <f t="shared" ref="F174:F200" si="6">IF($E174="特写",1,IF($E174="不动",0,""))</f>
        <v/>
      </c>
      <c r="G174" s="53"/>
    </row>
    <row r="175" s="12" customFormat="1" ht="16.5" spans="1:7">
      <c r="A175"/>
      <c r="B175"/>
      <c r="C175" s="53"/>
      <c r="D175" s="12" t="str">
        <f>IF($C175="","",VLOOKUP($C175,捏造NPC!$J$27:$L$58,3,FALSE))</f>
        <v/>
      </c>
      <c r="E175" s="53"/>
      <c r="F175" s="12" t="str">
        <f t="shared" si="6"/>
        <v/>
      </c>
      <c r="G175" s="53"/>
    </row>
    <row r="176" s="12" customFormat="1" ht="16.5" spans="1:7">
      <c r="A176"/>
      <c r="B176"/>
      <c r="C176" s="53"/>
      <c r="D176" s="12" t="str">
        <f>IF($C176="","",VLOOKUP($C176,捏造NPC!$J$27:$L$58,3,FALSE))</f>
        <v/>
      </c>
      <c r="E176" s="53"/>
      <c r="F176" s="12" t="str">
        <f t="shared" si="6"/>
        <v/>
      </c>
      <c r="G176" s="53"/>
    </row>
    <row r="177" s="12" customFormat="1" ht="16.5" spans="1:7">
      <c r="A177"/>
      <c r="B177"/>
      <c r="C177" s="53"/>
      <c r="D177" s="12" t="str">
        <f>IF($C177="","",VLOOKUP($C177,捏造NPC!$J$27:$L$58,3,FALSE))</f>
        <v/>
      </c>
      <c r="E177" s="53"/>
      <c r="F177" s="12" t="str">
        <f t="shared" si="6"/>
        <v/>
      </c>
      <c r="G177" s="53"/>
    </row>
    <row r="178" s="12" customFormat="1" ht="16.5" spans="1:7">
      <c r="A178"/>
      <c r="B178"/>
      <c r="C178" s="53"/>
      <c r="D178" s="12" t="str">
        <f>IF($C178="","",VLOOKUP($C178,捏造NPC!$J$27:$L$58,3,FALSE))</f>
        <v/>
      </c>
      <c r="E178" s="53"/>
      <c r="F178" s="12" t="str">
        <f t="shared" si="6"/>
        <v/>
      </c>
      <c r="G178" s="53"/>
    </row>
    <row r="179" s="12" customFormat="1" ht="16.5" spans="1:7">
      <c r="A179"/>
      <c r="B179"/>
      <c r="C179" s="53"/>
      <c r="D179" s="12" t="str">
        <f>IF($C179="","",VLOOKUP($C179,捏造NPC!$J$27:$L$58,3,FALSE))</f>
        <v/>
      </c>
      <c r="E179" s="53"/>
      <c r="F179" s="12" t="str">
        <f t="shared" si="6"/>
        <v/>
      </c>
      <c r="G179" s="53"/>
    </row>
    <row r="180" s="12" customFormat="1" ht="16.5" spans="1:7">
      <c r="A180"/>
      <c r="B180"/>
      <c r="C180" s="53"/>
      <c r="D180" s="12" t="str">
        <f>IF($C180="","",VLOOKUP($C180,捏造NPC!$J$27:$L$58,3,FALSE))</f>
        <v/>
      </c>
      <c r="E180" s="53"/>
      <c r="F180" s="12" t="str">
        <f t="shared" si="6"/>
        <v/>
      </c>
      <c r="G180" s="53"/>
    </row>
    <row r="181" s="12" customFormat="1" ht="16.5" spans="1:7">
      <c r="A181"/>
      <c r="B181"/>
      <c r="C181" s="53"/>
      <c r="D181" s="12" t="str">
        <f>IF($C181="","",VLOOKUP($C181,捏造NPC!$J$27:$L$58,3,FALSE))</f>
        <v/>
      </c>
      <c r="E181" s="53"/>
      <c r="F181" s="12" t="str">
        <f t="shared" si="6"/>
        <v/>
      </c>
      <c r="G181" s="53"/>
    </row>
    <row r="182" s="12" customFormat="1" ht="16.5" spans="1:7">
      <c r="A182"/>
      <c r="B182"/>
      <c r="C182" s="53"/>
      <c r="D182" s="12" t="str">
        <f>IF($C182="","",VLOOKUP($C182,捏造NPC!$J$27:$L$58,3,FALSE))</f>
        <v/>
      </c>
      <c r="E182" s="53"/>
      <c r="F182" s="12" t="str">
        <f t="shared" si="6"/>
        <v/>
      </c>
      <c r="G182" s="53"/>
    </row>
    <row r="183" s="12" customFormat="1" ht="16.5" spans="1:7">
      <c r="A183"/>
      <c r="B183"/>
      <c r="C183" s="53"/>
      <c r="D183" s="12" t="str">
        <f>IF($C183="","",VLOOKUP($C183,捏造NPC!$J$27:$L$58,3,FALSE))</f>
        <v/>
      </c>
      <c r="E183" s="53"/>
      <c r="F183" s="12" t="str">
        <f t="shared" si="6"/>
        <v/>
      </c>
      <c r="G183" s="53"/>
    </row>
    <row r="184" s="12" customFormat="1" ht="16.5" spans="1:7">
      <c r="A184"/>
      <c r="B184"/>
      <c r="C184" s="53"/>
      <c r="D184" s="12" t="str">
        <f>IF($C184="","",VLOOKUP($C184,捏造NPC!$J$27:$L$58,3,FALSE))</f>
        <v/>
      </c>
      <c r="E184" s="53"/>
      <c r="F184" s="12" t="str">
        <f t="shared" si="6"/>
        <v/>
      </c>
      <c r="G184" s="53"/>
    </row>
    <row r="185" s="12" customFormat="1" ht="16.5" spans="1:7">
      <c r="A185"/>
      <c r="B185"/>
      <c r="C185" s="53"/>
      <c r="D185" s="12" t="str">
        <f>IF($C185="","",VLOOKUP($C185,捏造NPC!$J$27:$L$58,3,FALSE))</f>
        <v/>
      </c>
      <c r="E185" s="53"/>
      <c r="F185" s="12" t="str">
        <f t="shared" si="6"/>
        <v/>
      </c>
      <c r="G185" s="53"/>
    </row>
    <row r="186" s="12" customFormat="1" ht="16.5" spans="1:7">
      <c r="A186"/>
      <c r="B186"/>
      <c r="C186" s="53"/>
      <c r="D186" s="12" t="str">
        <f>IF($C186="","",VLOOKUP($C186,捏造NPC!$J$27:$L$58,3,FALSE))</f>
        <v/>
      </c>
      <c r="E186" s="53"/>
      <c r="F186" s="12" t="str">
        <f t="shared" si="6"/>
        <v/>
      </c>
      <c r="G186" s="53"/>
    </row>
    <row r="187" s="12" customFormat="1" ht="16.5" spans="1:7">
      <c r="A187"/>
      <c r="B187"/>
      <c r="C187" s="53"/>
      <c r="D187" s="12" t="str">
        <f>IF($C187="","",VLOOKUP($C187,捏造NPC!$J$27:$L$58,3,FALSE))</f>
        <v/>
      </c>
      <c r="E187" s="53"/>
      <c r="F187" s="12" t="str">
        <f t="shared" si="6"/>
        <v/>
      </c>
      <c r="G187" s="53"/>
    </row>
    <row r="188" s="12" customFormat="1" ht="16.5" spans="1:7">
      <c r="A188"/>
      <c r="B188"/>
      <c r="C188" s="53"/>
      <c r="D188" s="12" t="str">
        <f>IF($C188="","",VLOOKUP($C188,捏造NPC!$J$27:$L$58,3,FALSE))</f>
        <v/>
      </c>
      <c r="E188" s="53"/>
      <c r="F188" s="12" t="str">
        <f t="shared" si="6"/>
        <v/>
      </c>
      <c r="G188" s="53"/>
    </row>
    <row r="189" s="12" customFormat="1" ht="16.5" spans="1:7">
      <c r="A189"/>
      <c r="B189"/>
      <c r="C189" s="53"/>
      <c r="D189" s="12" t="str">
        <f>IF($C189="","",VLOOKUP($C189,捏造NPC!$J$27:$L$58,3,FALSE))</f>
        <v/>
      </c>
      <c r="E189" s="53"/>
      <c r="F189" s="12" t="str">
        <f t="shared" si="6"/>
        <v/>
      </c>
      <c r="G189" s="53"/>
    </row>
    <row r="190" s="12" customFormat="1" ht="16.5" spans="1:7">
      <c r="A190"/>
      <c r="B190"/>
      <c r="C190" s="53"/>
      <c r="D190" s="12" t="str">
        <f>IF($C190="","",VLOOKUP($C190,捏造NPC!$J$27:$L$58,3,FALSE))</f>
        <v/>
      </c>
      <c r="E190" s="53"/>
      <c r="F190" s="12" t="str">
        <f t="shared" si="6"/>
        <v/>
      </c>
      <c r="G190" s="53"/>
    </row>
    <row r="191" s="12" customFormat="1" ht="16.5" spans="1:7">
      <c r="A191"/>
      <c r="B191"/>
      <c r="C191" s="53"/>
      <c r="D191" s="12" t="str">
        <f>IF($C191="","",VLOOKUP($C191,捏造NPC!$J$27:$L$58,3,FALSE))</f>
        <v/>
      </c>
      <c r="E191" s="53"/>
      <c r="F191" s="12" t="str">
        <f t="shared" si="6"/>
        <v/>
      </c>
      <c r="G191" s="53"/>
    </row>
    <row r="192" s="12" customFormat="1" ht="16.5" spans="1:7">
      <c r="A192"/>
      <c r="B192"/>
      <c r="C192" s="53"/>
      <c r="D192" s="12" t="str">
        <f>IF($C192="","",VLOOKUP($C192,捏造NPC!$J$27:$L$58,3,FALSE))</f>
        <v/>
      </c>
      <c r="E192" s="53"/>
      <c r="F192" s="12" t="str">
        <f t="shared" si="6"/>
        <v/>
      </c>
      <c r="G192" s="53"/>
    </row>
    <row r="193" s="12" customFormat="1" ht="16.5" spans="1:7">
      <c r="A193"/>
      <c r="B193"/>
      <c r="C193" s="53"/>
      <c r="D193" s="12" t="str">
        <f>IF($C193="","",VLOOKUP($C193,捏造NPC!$J$27:$L$58,3,FALSE))</f>
        <v/>
      </c>
      <c r="E193" s="53"/>
      <c r="F193" s="12" t="str">
        <f t="shared" si="6"/>
        <v/>
      </c>
      <c r="G193" s="53"/>
    </row>
    <row r="194" s="12" customFormat="1" ht="16.5" spans="1:7">
      <c r="A194"/>
      <c r="B194"/>
      <c r="C194" s="53"/>
      <c r="D194" s="12" t="str">
        <f>IF($C194="","",VLOOKUP($C194,捏造NPC!$J$27:$L$58,3,FALSE))</f>
        <v/>
      </c>
      <c r="E194" s="53"/>
      <c r="F194" s="12" t="str">
        <f t="shared" si="6"/>
        <v/>
      </c>
      <c r="G194" s="53"/>
    </row>
    <row r="195" s="12" customFormat="1" ht="16.5" spans="1:7">
      <c r="A195"/>
      <c r="B195"/>
      <c r="C195" s="53"/>
      <c r="D195" s="12" t="str">
        <f>IF($C195="","",VLOOKUP($C195,捏造NPC!$J$27:$L$58,3,FALSE))</f>
        <v/>
      </c>
      <c r="E195" s="53"/>
      <c r="F195" s="12" t="str">
        <f t="shared" si="6"/>
        <v/>
      </c>
      <c r="G195" s="53"/>
    </row>
    <row r="196" s="12" customFormat="1" ht="16.5" spans="1:7">
      <c r="A196"/>
      <c r="B196"/>
      <c r="C196" s="53"/>
      <c r="D196" s="12" t="str">
        <f>IF($C196="","",VLOOKUP($C196,捏造NPC!$J$27:$L$58,3,FALSE))</f>
        <v/>
      </c>
      <c r="E196" s="53"/>
      <c r="F196" s="12" t="str">
        <f t="shared" si="6"/>
        <v/>
      </c>
      <c r="G196" s="53"/>
    </row>
    <row r="197" s="12" customFormat="1" ht="16.5" spans="1:7">
      <c r="A197"/>
      <c r="B197"/>
      <c r="C197" s="53"/>
      <c r="D197" s="12" t="str">
        <f>IF($C197="","",VLOOKUP($C197,捏造NPC!$J$27:$L$58,3,FALSE))</f>
        <v/>
      </c>
      <c r="E197" s="53"/>
      <c r="F197" s="12" t="str">
        <f t="shared" si="6"/>
        <v/>
      </c>
      <c r="G197" s="53"/>
    </row>
    <row r="198" s="12" customFormat="1" ht="16.5" spans="1:7">
      <c r="A198"/>
      <c r="B198"/>
      <c r="C198" s="53"/>
      <c r="D198" s="12" t="str">
        <f>IF($C198="","",VLOOKUP($C198,捏造NPC!$J$27:$L$58,3,FALSE))</f>
        <v/>
      </c>
      <c r="E198" s="53"/>
      <c r="F198" s="12" t="str">
        <f t="shared" si="6"/>
        <v/>
      </c>
      <c r="G198" s="53"/>
    </row>
    <row r="199" s="12" customFormat="1" ht="16.5" spans="1:7">
      <c r="A199"/>
      <c r="B199"/>
      <c r="C199" s="53"/>
      <c r="D199" s="12" t="str">
        <f>IF($C199="","",VLOOKUP($C199,捏造NPC!$J$27:$L$58,3,FALSE))</f>
        <v/>
      </c>
      <c r="E199" s="53"/>
      <c r="F199" s="12" t="str">
        <f t="shared" si="6"/>
        <v/>
      </c>
      <c r="G199" s="53"/>
    </row>
    <row r="200" s="12" customFormat="1" ht="16.5" spans="1:7">
      <c r="A200"/>
      <c r="B200"/>
      <c r="C200" s="53"/>
      <c r="D200" s="12" t="str">
        <f>IF($C200="","",VLOOKUP($C200,捏造NPC!$J$27:$L$58,3,FALSE))</f>
        <v/>
      </c>
      <c r="E200" s="53"/>
      <c r="F200" s="12" t="str">
        <f t="shared" si="6"/>
        <v/>
      </c>
      <c r="G200" s="53"/>
    </row>
  </sheetData>
  <sheetProtection selectLockedCells="1"/>
  <dataValidations count="3">
    <dataValidation type="list" allowBlank="1" showInputMessage="1" showErrorMessage="1" sqref="C3 C4:C50 C51:C200">
      <formula1>捏造NPC!$J$27:$J$57</formula1>
    </dataValidation>
    <dataValidation type="list" allowBlank="1" showInputMessage="1" showErrorMessage="1" sqref="E3:E50">
      <formula1>"特写,不动"</formula1>
    </dataValidation>
    <dataValidation type="list" allowBlank="1" showInputMessage="1" showErrorMessage="1" sqref="E51:E200">
      <formula1>"特写镜头,镜头不动"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E61"/>
  <sheetViews>
    <sheetView workbookViewId="0">
      <selection activeCell="K9" sqref="K9"/>
    </sheetView>
  </sheetViews>
  <sheetFormatPr defaultColWidth="9" defaultRowHeight="16.5"/>
  <cols>
    <col min="1" max="1" width="12.5" style="10" customWidth="1"/>
    <col min="2" max="3" width="11.625" style="10" hidden="1" customWidth="1"/>
    <col min="4" max="4" width="14" style="8" customWidth="1"/>
    <col min="5" max="5" width="15.5" style="8" customWidth="1"/>
    <col min="6" max="6" width="11.875" style="8" customWidth="1"/>
    <col min="7" max="7" width="14.5" style="8" customWidth="1"/>
    <col min="8" max="8" width="9.625" style="8" customWidth="1"/>
    <col min="9" max="9" width="16.125" style="8" customWidth="1"/>
    <col min="10" max="10" width="12.5" style="8" customWidth="1"/>
    <col min="11" max="11" width="8.625" style="8" customWidth="1"/>
    <col min="12" max="12" width="9.75" style="8" customWidth="1"/>
    <col min="13" max="13" width="9.125" style="8" customWidth="1"/>
    <col min="14" max="14" width="8.875" style="8" customWidth="1"/>
    <col min="15" max="15" width="15.125" style="8" customWidth="1"/>
    <col min="16" max="16" width="13.5" style="8" customWidth="1"/>
    <col min="17" max="17" width="5.875" style="8" hidden="1" customWidth="1"/>
    <col min="18" max="18" width="27.875" style="8" customWidth="1"/>
    <col min="19" max="19" width="6.375" style="8" customWidth="1"/>
    <col min="20" max="20" width="6" style="8" hidden="1" customWidth="1"/>
    <col min="21" max="21" width="5.375" style="8" customWidth="1"/>
    <col min="22" max="22" width="11.25" style="8" customWidth="1"/>
    <col min="23" max="23" width="6.875" style="8" hidden="1" customWidth="1"/>
    <col min="24" max="24" width="11.875" style="8" customWidth="1"/>
    <col min="25" max="26" width="12.25" style="8" customWidth="1"/>
    <col min="27" max="27" width="7.5" style="8" customWidth="1"/>
    <col min="28" max="28" width="7.5" style="8" hidden="1" customWidth="1"/>
    <col min="29" max="29" width="11.75" style="8" customWidth="1"/>
    <col min="30" max="30" width="9" style="8"/>
    <col min="31" max="31" width="7" style="8" hidden="1" customWidth="1"/>
    <col min="32" max="16384" width="9" style="8"/>
  </cols>
  <sheetData>
    <row r="1" s="8" customFormat="1" spans="1:3">
      <c r="A1" s="11" t="s">
        <v>71</v>
      </c>
      <c r="B1" s="10"/>
      <c r="C1" s="10"/>
    </row>
    <row r="2" s="8" customFormat="1" spans="1:10">
      <c r="A2" s="12" t="s">
        <v>72</v>
      </c>
      <c r="B2" s="12"/>
      <c r="C2" s="12"/>
      <c r="D2" s="13">
        <v>3</v>
      </c>
      <c r="E2" s="8" t="s">
        <v>73</v>
      </c>
      <c r="F2" s="13">
        <v>1000</v>
      </c>
      <c r="G2" s="8" t="s">
        <v>74</v>
      </c>
      <c r="H2" s="14">
        <v>2000</v>
      </c>
      <c r="I2" s="8" t="s">
        <v>75</v>
      </c>
      <c r="J2" s="14">
        <v>3000</v>
      </c>
    </row>
    <row r="3" s="8" customFormat="1" spans="1:30">
      <c r="A3" s="10"/>
      <c r="B3" s="10"/>
      <c r="C3" s="10"/>
      <c r="J3" s="38" t="s">
        <v>76</v>
      </c>
      <c r="R3" s="38" t="s">
        <v>77</v>
      </c>
      <c r="S3" s="44" t="s">
        <v>78</v>
      </c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</row>
    <row r="4" s="8" customFormat="1" spans="1:30">
      <c r="A4" s="15" t="s">
        <v>79</v>
      </c>
      <c r="B4" s="15" t="s">
        <v>80</v>
      </c>
      <c r="C4" s="15" t="s">
        <v>81</v>
      </c>
      <c r="D4" s="15" t="s">
        <v>82</v>
      </c>
      <c r="E4" s="15" t="s">
        <v>83</v>
      </c>
      <c r="F4" s="15" t="s">
        <v>84</v>
      </c>
      <c r="G4" s="15" t="s">
        <v>85</v>
      </c>
      <c r="H4" s="15" t="s">
        <v>86</v>
      </c>
      <c r="I4" s="15" t="s">
        <v>87</v>
      </c>
      <c r="J4" s="15" t="s">
        <v>88</v>
      </c>
      <c r="K4" s="15" t="s">
        <v>89</v>
      </c>
      <c r="L4" s="15" t="s">
        <v>90</v>
      </c>
      <c r="M4" s="15" t="s">
        <v>91</v>
      </c>
      <c r="N4" s="15" t="s">
        <v>92</v>
      </c>
      <c r="O4" s="15" t="s">
        <v>93</v>
      </c>
      <c r="P4" s="15" t="s">
        <v>94</v>
      </c>
      <c r="Q4" s="15"/>
      <c r="R4" s="15" t="s">
        <v>95</v>
      </c>
      <c r="S4" s="45" t="s">
        <v>96</v>
      </c>
      <c r="T4" s="46"/>
      <c r="U4" s="45" t="s">
        <v>97</v>
      </c>
      <c r="V4" s="45" t="s">
        <v>98</v>
      </c>
      <c r="W4" s="46"/>
      <c r="X4" s="47" t="s">
        <v>99</v>
      </c>
      <c r="Y4" s="46" t="s">
        <v>100</v>
      </c>
      <c r="Z4" s="46" t="s">
        <v>101</v>
      </c>
      <c r="AA4" s="45" t="s">
        <v>102</v>
      </c>
      <c r="AB4" s="46"/>
      <c r="AC4" s="46" t="s">
        <v>103</v>
      </c>
      <c r="AD4" s="46" t="s">
        <v>104</v>
      </c>
    </row>
    <row r="5" s="8" customFormat="1" spans="1:31">
      <c r="A5" s="16">
        <f>IF(ROW()-5&lt;$D$2,ROW()-5+$F$2,"")</f>
        <v>1000</v>
      </c>
      <c r="B5" s="10">
        <f>IF(ROW()-5&lt;$D$2,ROW()-5+$H$2,"")</f>
        <v>2000</v>
      </c>
      <c r="C5" s="10">
        <f>IF(ROW()-5&lt;$D$2,ROW()-5+$J$2,"")</f>
        <v>3000</v>
      </c>
      <c r="D5" s="13">
        <v>111</v>
      </c>
      <c r="E5" s="14" t="s">
        <v>37</v>
      </c>
      <c r="F5" s="14" t="s">
        <v>60</v>
      </c>
      <c r="G5" s="14" t="s">
        <v>60</v>
      </c>
      <c r="H5" s="17" t="s">
        <v>105</v>
      </c>
      <c r="I5" s="17" t="s">
        <v>106</v>
      </c>
      <c r="J5" s="14" t="s">
        <v>107</v>
      </c>
      <c r="K5" s="13">
        <v>6</v>
      </c>
      <c r="L5" s="39">
        <v>111</v>
      </c>
      <c r="M5" s="40">
        <v>322</v>
      </c>
      <c r="N5" s="39">
        <v>213</v>
      </c>
      <c r="O5" s="13">
        <v>180</v>
      </c>
      <c r="P5" s="13" t="s">
        <v>46</v>
      </c>
      <c r="Q5" s="48">
        <f t="shared" ref="Q5:Q25" si="0">IF(P5="是",1,IF(P5="否",0,""))</f>
        <v>0</v>
      </c>
      <c r="R5" s="14" t="s">
        <v>108</v>
      </c>
      <c r="S5" s="13"/>
      <c r="T5" s="49">
        <f t="shared" ref="T5:T21" si="1">IF(OR(P5="否",S5="普通"),0,IF(S5="精英",1,IF(S5="BOSS",2,"")))</f>
        <v>0</v>
      </c>
      <c r="U5" s="13"/>
      <c r="V5" s="13"/>
      <c r="W5" s="49">
        <f t="shared" ref="W5:W21" si="2">IF(OR(V5="近战",P5="否"),0,IF(V5="远程",1,""))</f>
        <v>0</v>
      </c>
      <c r="X5" s="13"/>
      <c r="Y5" s="14"/>
      <c r="Z5" s="14"/>
      <c r="AA5" s="13"/>
      <c r="AB5" s="14">
        <f t="shared" ref="AB5:AB21" si="3">IF(P5="否",1,IF(AA5="中立",2,IF(AA5="敌对",3,IF(AA5="助战",7,""))))</f>
        <v>1</v>
      </c>
      <c r="AC5" s="14"/>
      <c r="AD5" s="14"/>
      <c r="AE5" s="8">
        <f t="shared" ref="AE5:AE21" si="4">IF(OR(AD5="否",P5="否"),0,IF(AD5="是",1,""))</f>
        <v>0</v>
      </c>
    </row>
    <row r="6" s="8" customFormat="1" spans="1:31">
      <c r="A6" s="16">
        <f>IF(ROW()-5&lt;$D$2,ROW()-5+$F$2,"")</f>
        <v>1001</v>
      </c>
      <c r="B6" s="10">
        <f>IF(ROW()-5&lt;$D$2,ROW()-5+$H$2,"")</f>
        <v>2001</v>
      </c>
      <c r="C6" s="10">
        <f>IF(ROW()-5&lt;$D$2,ROW()-5+$J$2,"")</f>
        <v>3001</v>
      </c>
      <c r="D6" s="13">
        <v>112</v>
      </c>
      <c r="E6" s="14" t="s">
        <v>42</v>
      </c>
      <c r="F6" s="14" t="s">
        <v>109</v>
      </c>
      <c r="G6" s="14" t="s">
        <v>109</v>
      </c>
      <c r="H6" s="17" t="s">
        <v>105</v>
      </c>
      <c r="I6" s="17" t="s">
        <v>106</v>
      </c>
      <c r="J6" s="14" t="s">
        <v>110</v>
      </c>
      <c r="K6" s="13">
        <v>7</v>
      </c>
      <c r="L6" s="39">
        <v>231</v>
      </c>
      <c r="M6" s="40">
        <v>123</v>
      </c>
      <c r="N6" s="39">
        <v>22</v>
      </c>
      <c r="O6" s="13">
        <v>90</v>
      </c>
      <c r="P6" s="13" t="s">
        <v>34</v>
      </c>
      <c r="Q6" s="48">
        <f t="shared" si="0"/>
        <v>1</v>
      </c>
      <c r="R6" s="14"/>
      <c r="S6" s="13" t="s">
        <v>111</v>
      </c>
      <c r="T6" s="49">
        <f t="shared" si="1"/>
        <v>1</v>
      </c>
      <c r="U6" s="13">
        <v>99</v>
      </c>
      <c r="V6" s="13" t="s">
        <v>112</v>
      </c>
      <c r="W6" s="49">
        <f t="shared" si="2"/>
        <v>1</v>
      </c>
      <c r="X6" s="13">
        <v>111</v>
      </c>
      <c r="Y6" s="13">
        <v>111</v>
      </c>
      <c r="Z6" s="13">
        <v>111</v>
      </c>
      <c r="AA6" s="13" t="s">
        <v>113</v>
      </c>
      <c r="AB6" s="14">
        <f t="shared" si="3"/>
        <v>3</v>
      </c>
      <c r="AC6" s="13">
        <v>111</v>
      </c>
      <c r="AD6" s="13" t="s">
        <v>34</v>
      </c>
      <c r="AE6" s="8">
        <f t="shared" si="4"/>
        <v>1</v>
      </c>
    </row>
    <row r="7" s="8" customFormat="1" spans="1:31">
      <c r="A7" s="16">
        <f>IF(ROW()-5&lt;$D$2,ROW()-5+$F$2,"")</f>
        <v>1002</v>
      </c>
      <c r="B7" s="10">
        <f>IF(ROW()-5&lt;$D$2,ROW()-5+$H$2,"")</f>
        <v>2002</v>
      </c>
      <c r="C7" s="10">
        <f>IF(ROW()-5&lt;$D$2,ROW()-5+$J$2,"")</f>
        <v>3002</v>
      </c>
      <c r="D7" s="13">
        <v>113</v>
      </c>
      <c r="E7" s="14" t="s">
        <v>47</v>
      </c>
      <c r="F7" s="14" t="s">
        <v>114</v>
      </c>
      <c r="G7" s="14" t="s">
        <v>114</v>
      </c>
      <c r="H7" s="17" t="s">
        <v>105</v>
      </c>
      <c r="I7" s="17" t="s">
        <v>106</v>
      </c>
      <c r="J7" s="14" t="s">
        <v>115</v>
      </c>
      <c r="K7" s="13">
        <v>8</v>
      </c>
      <c r="L7" s="39">
        <v>122</v>
      </c>
      <c r="M7" s="40">
        <v>44</v>
      </c>
      <c r="N7" s="39">
        <v>66</v>
      </c>
      <c r="O7" s="13">
        <v>0</v>
      </c>
      <c r="P7" s="13" t="s">
        <v>46</v>
      </c>
      <c r="Q7" s="48">
        <f t="shared" si="0"/>
        <v>0</v>
      </c>
      <c r="R7" s="14" t="s">
        <v>108</v>
      </c>
      <c r="S7" s="14"/>
      <c r="T7" s="14">
        <f t="shared" si="1"/>
        <v>0</v>
      </c>
      <c r="U7" s="14"/>
      <c r="V7" s="14"/>
      <c r="W7" s="14">
        <f t="shared" si="2"/>
        <v>0</v>
      </c>
      <c r="X7" s="14"/>
      <c r="Y7" s="14"/>
      <c r="Z7" s="14"/>
      <c r="AA7" s="14"/>
      <c r="AB7" s="14">
        <f t="shared" si="3"/>
        <v>1</v>
      </c>
      <c r="AC7" s="14"/>
      <c r="AD7" s="14"/>
      <c r="AE7" s="8">
        <f t="shared" si="4"/>
        <v>0</v>
      </c>
    </row>
    <row r="8" s="8" customFormat="1" spans="1:31">
      <c r="A8" s="16" t="str">
        <f>IF(ROW()-5&lt;$D$2,ROW()-5+$F$2,"")</f>
        <v/>
      </c>
      <c r="B8" s="10" t="str">
        <f>IF(ROW()-5&lt;$D$2,ROW()-5+$H$2,"")</f>
        <v/>
      </c>
      <c r="C8" s="10" t="str">
        <f>IF(ROW()-5&lt;$D$2,ROW()-5+$J$2,"")</f>
        <v/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3"/>
      <c r="Q8" s="48" t="str">
        <f t="shared" si="0"/>
        <v/>
      </c>
      <c r="R8" s="14"/>
      <c r="S8" s="14"/>
      <c r="T8" s="14" t="str">
        <f t="shared" si="1"/>
        <v/>
      </c>
      <c r="U8" s="14"/>
      <c r="V8" s="14"/>
      <c r="W8" s="14" t="str">
        <f t="shared" si="2"/>
        <v/>
      </c>
      <c r="X8" s="14"/>
      <c r="Y8" s="14"/>
      <c r="Z8" s="14"/>
      <c r="AA8" s="14"/>
      <c r="AB8" s="14" t="str">
        <f t="shared" si="3"/>
        <v/>
      </c>
      <c r="AC8" s="14"/>
      <c r="AD8" s="14"/>
      <c r="AE8" s="8" t="str">
        <f t="shared" si="4"/>
        <v/>
      </c>
    </row>
    <row r="9" s="8" customFormat="1" spans="1:31">
      <c r="A9" s="16" t="str">
        <f>IF(ROW()-5&lt;$D$2,ROW()-5+$F$2,"")</f>
        <v/>
      </c>
      <c r="B9" s="10" t="str">
        <f>IF(ROW()-5&lt;$D$2,ROW()-5+$H$2,"")</f>
        <v/>
      </c>
      <c r="C9" s="10" t="str">
        <f>IF(ROW()-5&lt;$D$2,ROW()-5+$J$2,"")</f>
        <v/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3"/>
      <c r="Q9" s="48" t="str">
        <f t="shared" si="0"/>
        <v/>
      </c>
      <c r="R9" s="14"/>
      <c r="S9" s="14"/>
      <c r="T9" s="14" t="str">
        <f t="shared" si="1"/>
        <v/>
      </c>
      <c r="U9" s="14"/>
      <c r="V9" s="14"/>
      <c r="W9" s="14" t="str">
        <f t="shared" si="2"/>
        <v/>
      </c>
      <c r="X9" s="14"/>
      <c r="Y9" s="14"/>
      <c r="Z9" s="14"/>
      <c r="AA9" s="14"/>
      <c r="AB9" s="14" t="str">
        <f t="shared" si="3"/>
        <v/>
      </c>
      <c r="AC9" s="14"/>
      <c r="AD9" s="14"/>
      <c r="AE9" s="8" t="str">
        <f t="shared" si="4"/>
        <v/>
      </c>
    </row>
    <row r="10" s="8" customFormat="1" spans="1:31">
      <c r="A10" s="16" t="str">
        <f>IF(ROW()-5&lt;$D$2,ROW()-5+$F$2,"")</f>
        <v/>
      </c>
      <c r="B10" s="10" t="str">
        <f>IF(ROW()-5&lt;$D$2,ROW()-5+$H$2,"")</f>
        <v/>
      </c>
      <c r="C10" s="10" t="str">
        <f>IF(ROW()-5&lt;$D$2,ROW()-5+$J$2,"")</f>
        <v/>
      </c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3"/>
      <c r="Q10" s="48" t="str">
        <f t="shared" si="0"/>
        <v/>
      </c>
      <c r="R10" s="14"/>
      <c r="S10" s="14"/>
      <c r="T10" s="14" t="str">
        <f t="shared" si="1"/>
        <v/>
      </c>
      <c r="U10" s="14"/>
      <c r="V10" s="14"/>
      <c r="W10" s="14" t="str">
        <f t="shared" si="2"/>
        <v/>
      </c>
      <c r="X10" s="14"/>
      <c r="Y10" s="14"/>
      <c r="Z10" s="14"/>
      <c r="AA10" s="14"/>
      <c r="AB10" s="14" t="str">
        <f t="shared" si="3"/>
        <v/>
      </c>
      <c r="AC10" s="14"/>
      <c r="AD10" s="14"/>
      <c r="AE10" s="8" t="str">
        <f t="shared" si="4"/>
        <v/>
      </c>
    </row>
    <row r="11" s="8" customFormat="1" spans="1:31">
      <c r="A11" s="16" t="str">
        <f>IF(ROW()-5&lt;$D$2,ROW()-5+$F$2,"")</f>
        <v/>
      </c>
      <c r="B11" s="10" t="str">
        <f>IF(ROW()-5&lt;$D$2,ROW()-5+$H$2,"")</f>
        <v/>
      </c>
      <c r="C11" s="10" t="str">
        <f>IF(ROW()-5&lt;$D$2,ROW()-5+$J$2,"")</f>
        <v/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3"/>
      <c r="Q11" s="48" t="str">
        <f t="shared" si="0"/>
        <v/>
      </c>
      <c r="R11" s="14"/>
      <c r="S11" s="14"/>
      <c r="T11" s="14" t="str">
        <f t="shared" si="1"/>
        <v/>
      </c>
      <c r="U11" s="14"/>
      <c r="V11" s="14"/>
      <c r="W11" s="14" t="str">
        <f t="shared" si="2"/>
        <v/>
      </c>
      <c r="X11" s="14"/>
      <c r="Y11" s="14"/>
      <c r="Z11" s="14"/>
      <c r="AA11" s="14"/>
      <c r="AB11" s="14" t="str">
        <f t="shared" si="3"/>
        <v/>
      </c>
      <c r="AC11" s="14"/>
      <c r="AD11" s="14"/>
      <c r="AE11" s="8" t="str">
        <f t="shared" si="4"/>
        <v/>
      </c>
    </row>
    <row r="12" s="8" customFormat="1" spans="1:31">
      <c r="A12" s="16" t="str">
        <f>IF(ROW()-5&lt;$D$2,ROW()-5+$F$2,"")</f>
        <v/>
      </c>
      <c r="B12" s="10" t="str">
        <f>IF(ROW()-5&lt;$D$2,ROW()-5+$H$2,"")</f>
        <v/>
      </c>
      <c r="C12" s="10" t="str">
        <f>IF(ROW()-5&lt;$D$2,ROW()-5+$J$2,"")</f>
        <v/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3"/>
      <c r="Q12" s="48" t="str">
        <f t="shared" si="0"/>
        <v/>
      </c>
      <c r="R12" s="14"/>
      <c r="S12" s="14"/>
      <c r="T12" s="14" t="str">
        <f t="shared" si="1"/>
        <v/>
      </c>
      <c r="U12" s="14"/>
      <c r="V12" s="14"/>
      <c r="W12" s="14" t="str">
        <f t="shared" si="2"/>
        <v/>
      </c>
      <c r="X12" s="14"/>
      <c r="Y12" s="14"/>
      <c r="Z12" s="14"/>
      <c r="AA12" s="14"/>
      <c r="AB12" s="14" t="str">
        <f t="shared" si="3"/>
        <v/>
      </c>
      <c r="AC12" s="14"/>
      <c r="AD12" s="14"/>
      <c r="AE12" s="8" t="str">
        <f t="shared" si="4"/>
        <v/>
      </c>
    </row>
    <row r="13" s="8" customFormat="1" spans="1:31">
      <c r="A13" s="16" t="str">
        <f>IF(ROW()-5&lt;$D$2,ROW()-5+$F$2,"")</f>
        <v/>
      </c>
      <c r="B13" s="10" t="str">
        <f>IF(ROW()-5&lt;$D$2,ROW()-5+$H$2,"")</f>
        <v/>
      </c>
      <c r="C13" s="10" t="str">
        <f>IF(ROW()-5&lt;$D$2,ROW()-5+$J$2,"")</f>
        <v/>
      </c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3"/>
      <c r="Q13" s="48" t="str">
        <f t="shared" si="0"/>
        <v/>
      </c>
      <c r="R13" s="14"/>
      <c r="S13" s="14"/>
      <c r="T13" s="14" t="str">
        <f t="shared" si="1"/>
        <v/>
      </c>
      <c r="U13" s="14"/>
      <c r="V13" s="14"/>
      <c r="W13" s="14" t="str">
        <f t="shared" si="2"/>
        <v/>
      </c>
      <c r="X13" s="14"/>
      <c r="Y13" s="14"/>
      <c r="Z13" s="14"/>
      <c r="AA13" s="14"/>
      <c r="AB13" s="14" t="str">
        <f t="shared" si="3"/>
        <v/>
      </c>
      <c r="AC13" s="14"/>
      <c r="AD13" s="14"/>
      <c r="AE13" s="8" t="str">
        <f t="shared" si="4"/>
        <v/>
      </c>
    </row>
    <row r="14" s="8" customFormat="1" spans="1:31">
      <c r="A14" s="16" t="str">
        <f>IF(ROW()-5&lt;$D$2,ROW()-5+$F$2,"")</f>
        <v/>
      </c>
      <c r="B14" s="10" t="str">
        <f>IF(ROW()-5&lt;$D$2,ROW()-5+$H$2,"")</f>
        <v/>
      </c>
      <c r="C14" s="10" t="str">
        <f>IF(ROW()-5&lt;$D$2,ROW()-5+$J$2,"")</f>
        <v/>
      </c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3"/>
      <c r="Q14" s="48" t="str">
        <f t="shared" si="0"/>
        <v/>
      </c>
      <c r="R14" s="14"/>
      <c r="S14" s="14"/>
      <c r="T14" s="14" t="str">
        <f t="shared" si="1"/>
        <v/>
      </c>
      <c r="U14" s="14"/>
      <c r="V14" s="14"/>
      <c r="W14" s="14" t="str">
        <f t="shared" si="2"/>
        <v/>
      </c>
      <c r="X14" s="14"/>
      <c r="Y14" s="14"/>
      <c r="Z14" s="14"/>
      <c r="AA14" s="14"/>
      <c r="AB14" s="14" t="str">
        <f t="shared" si="3"/>
        <v/>
      </c>
      <c r="AC14" s="14"/>
      <c r="AD14" s="14"/>
      <c r="AE14" s="8" t="str">
        <f t="shared" si="4"/>
        <v/>
      </c>
    </row>
    <row r="15" s="8" customFormat="1" spans="1:31">
      <c r="A15" s="16" t="str">
        <f>IF(ROW()-5&lt;$D$2,ROW()-5+$F$2,"")</f>
        <v/>
      </c>
      <c r="B15" s="10" t="str">
        <f>IF(ROW()-5&lt;$D$2,ROW()-5+$H$2,"")</f>
        <v/>
      </c>
      <c r="C15" s="10" t="str">
        <f>IF(ROW()-5&lt;$D$2,ROW()-5+$J$2,"")</f>
        <v/>
      </c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3"/>
      <c r="Q15" s="48" t="str">
        <f t="shared" si="0"/>
        <v/>
      </c>
      <c r="R15" s="14"/>
      <c r="S15" s="14"/>
      <c r="T15" s="14" t="str">
        <f t="shared" si="1"/>
        <v/>
      </c>
      <c r="U15" s="14"/>
      <c r="V15" s="14"/>
      <c r="W15" s="14" t="str">
        <f t="shared" si="2"/>
        <v/>
      </c>
      <c r="X15" s="14"/>
      <c r="Y15" s="14"/>
      <c r="Z15" s="14"/>
      <c r="AA15" s="14"/>
      <c r="AB15" s="14" t="str">
        <f t="shared" si="3"/>
        <v/>
      </c>
      <c r="AC15" s="14"/>
      <c r="AD15" s="14"/>
      <c r="AE15" s="8" t="str">
        <f t="shared" si="4"/>
        <v/>
      </c>
    </row>
    <row r="16" s="8" customFormat="1" spans="1:31">
      <c r="A16" s="16" t="str">
        <f>IF(ROW()-5&lt;$D$2,ROW()-5+$F$2,"")</f>
        <v/>
      </c>
      <c r="B16" s="10" t="str">
        <f>IF(ROW()-5&lt;$D$2,ROW()-5+$H$2,"")</f>
        <v/>
      </c>
      <c r="C16" s="10" t="str">
        <f>IF(ROW()-5&lt;$D$2,ROW()-5+$J$2,"")</f>
        <v/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3"/>
      <c r="Q16" s="48" t="str">
        <f t="shared" si="0"/>
        <v/>
      </c>
      <c r="R16" s="14"/>
      <c r="S16" s="14"/>
      <c r="T16" s="14" t="str">
        <f t="shared" si="1"/>
        <v/>
      </c>
      <c r="U16" s="14"/>
      <c r="V16" s="14"/>
      <c r="W16" s="14" t="str">
        <f t="shared" si="2"/>
        <v/>
      </c>
      <c r="X16" s="14"/>
      <c r="Y16" s="14"/>
      <c r="Z16" s="14"/>
      <c r="AA16" s="14"/>
      <c r="AB16" s="14" t="str">
        <f t="shared" si="3"/>
        <v/>
      </c>
      <c r="AC16" s="14"/>
      <c r="AD16" s="14"/>
      <c r="AE16" s="8" t="str">
        <f t="shared" si="4"/>
        <v/>
      </c>
    </row>
    <row r="17" s="8" customFormat="1" spans="1:31">
      <c r="A17" s="16" t="str">
        <f>IF(ROW()-5&lt;$D$2,ROW()-5+$F$2,"")</f>
        <v/>
      </c>
      <c r="B17" s="10" t="str">
        <f>IF(ROW()-5&lt;$D$2,ROW()-5+$H$2,"")</f>
        <v/>
      </c>
      <c r="C17" s="10" t="str">
        <f>IF(ROW()-5&lt;$D$2,ROW()-5+$J$2,"")</f>
        <v/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3"/>
      <c r="Q17" s="48" t="str">
        <f t="shared" si="0"/>
        <v/>
      </c>
      <c r="R17" s="14"/>
      <c r="S17" s="14"/>
      <c r="T17" s="14" t="str">
        <f t="shared" si="1"/>
        <v/>
      </c>
      <c r="U17" s="14"/>
      <c r="V17" s="14"/>
      <c r="W17" s="14" t="str">
        <f t="shared" si="2"/>
        <v/>
      </c>
      <c r="X17" s="14"/>
      <c r="Y17" s="14"/>
      <c r="Z17" s="14"/>
      <c r="AA17" s="14"/>
      <c r="AB17" s="14" t="str">
        <f t="shared" si="3"/>
        <v/>
      </c>
      <c r="AC17" s="14"/>
      <c r="AD17" s="14"/>
      <c r="AE17" s="8" t="str">
        <f t="shared" si="4"/>
        <v/>
      </c>
    </row>
    <row r="18" s="8" customFormat="1" spans="1:31">
      <c r="A18" s="16" t="str">
        <f>IF(ROW()-5&lt;$D$2,ROW()-5+$F$2,"")</f>
        <v/>
      </c>
      <c r="B18" s="10" t="str">
        <f>IF(ROW()-5&lt;$D$2,ROW()-5+$H$2,"")</f>
        <v/>
      </c>
      <c r="C18" s="10" t="str">
        <f>IF(ROW()-5&lt;$D$2,ROW()-5+$J$2,"")</f>
        <v/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3"/>
      <c r="Q18" s="48" t="str">
        <f t="shared" si="0"/>
        <v/>
      </c>
      <c r="R18" s="14"/>
      <c r="S18" s="14"/>
      <c r="T18" s="14" t="str">
        <f t="shared" si="1"/>
        <v/>
      </c>
      <c r="U18" s="14"/>
      <c r="V18" s="14"/>
      <c r="W18" s="14" t="str">
        <f t="shared" si="2"/>
        <v/>
      </c>
      <c r="X18" s="14"/>
      <c r="Y18" s="14"/>
      <c r="Z18" s="14"/>
      <c r="AA18" s="14"/>
      <c r="AB18" s="14" t="str">
        <f t="shared" si="3"/>
        <v/>
      </c>
      <c r="AC18" s="14"/>
      <c r="AD18" s="14"/>
      <c r="AE18" s="8" t="str">
        <f t="shared" si="4"/>
        <v/>
      </c>
    </row>
    <row r="19" s="8" customFormat="1" spans="1:31">
      <c r="A19" s="16" t="str">
        <f>IF(ROW()-5&lt;$D$2,ROW()-5+$F$2,"")</f>
        <v/>
      </c>
      <c r="B19" s="10" t="str">
        <f>IF(ROW()-5&lt;$D$2,ROW()-5+$H$2,"")</f>
        <v/>
      </c>
      <c r="C19" s="10" t="str">
        <f>IF(ROW()-5&lt;$D$2,ROW()-5+$J$2,"")</f>
        <v/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3"/>
      <c r="Q19" s="48" t="str">
        <f t="shared" si="0"/>
        <v/>
      </c>
      <c r="R19" s="14"/>
      <c r="S19" s="14"/>
      <c r="T19" s="14" t="str">
        <f t="shared" si="1"/>
        <v/>
      </c>
      <c r="U19" s="14"/>
      <c r="V19" s="14"/>
      <c r="W19" s="14" t="str">
        <f t="shared" si="2"/>
        <v/>
      </c>
      <c r="X19" s="14"/>
      <c r="Y19" s="14"/>
      <c r="Z19" s="14"/>
      <c r="AA19" s="14"/>
      <c r="AB19" s="14" t="str">
        <f t="shared" si="3"/>
        <v/>
      </c>
      <c r="AC19" s="14"/>
      <c r="AD19" s="14"/>
      <c r="AE19" s="8" t="str">
        <f t="shared" si="4"/>
        <v/>
      </c>
    </row>
    <row r="20" s="8" customFormat="1" spans="1:31">
      <c r="A20" s="16" t="str">
        <f>IF(ROW()-5&lt;$D$2,ROW()-5+$F$2,"")</f>
        <v/>
      </c>
      <c r="B20" s="10" t="str">
        <f>IF(ROW()-5&lt;$D$2,ROW()-5+$H$2,"")</f>
        <v/>
      </c>
      <c r="C20" s="10" t="str">
        <f>IF(ROW()-5&lt;$D$2,ROW()-5+$J$2,"")</f>
        <v/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3"/>
      <c r="Q20" s="48" t="str">
        <f t="shared" si="0"/>
        <v/>
      </c>
      <c r="R20" s="14"/>
      <c r="S20" s="14"/>
      <c r="T20" s="14" t="str">
        <f t="shared" si="1"/>
        <v/>
      </c>
      <c r="U20" s="14"/>
      <c r="V20" s="14"/>
      <c r="W20" s="14" t="str">
        <f t="shared" si="2"/>
        <v/>
      </c>
      <c r="X20" s="14"/>
      <c r="Y20" s="14"/>
      <c r="Z20" s="14"/>
      <c r="AA20" s="14"/>
      <c r="AB20" s="14" t="str">
        <f t="shared" si="3"/>
        <v/>
      </c>
      <c r="AC20" s="14"/>
      <c r="AD20" s="14"/>
      <c r="AE20" s="8" t="str">
        <f t="shared" si="4"/>
        <v/>
      </c>
    </row>
    <row r="21" s="8" customFormat="1" spans="1:31">
      <c r="A21" s="16" t="str">
        <f>IF(ROW()-5&lt;$D$2,ROW()-5+$F$2,"")</f>
        <v/>
      </c>
      <c r="B21" s="10" t="str">
        <f>IF(ROW()-5&lt;$D$2,ROW()-5+$H$2,"")</f>
        <v/>
      </c>
      <c r="C21" s="10" t="str">
        <f>IF(ROW()-5&lt;$D$2,ROW()-5+$J$2,"")</f>
        <v/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3"/>
      <c r="Q21" s="48" t="str">
        <f t="shared" si="0"/>
        <v/>
      </c>
      <c r="R21" s="14"/>
      <c r="S21" s="14"/>
      <c r="T21" s="14" t="str">
        <f t="shared" si="1"/>
        <v/>
      </c>
      <c r="U21" s="14"/>
      <c r="V21" s="14"/>
      <c r="W21" s="14" t="str">
        <f t="shared" si="2"/>
        <v/>
      </c>
      <c r="X21" s="14"/>
      <c r="Y21" s="14"/>
      <c r="Z21" s="14"/>
      <c r="AA21" s="14"/>
      <c r="AB21" s="14" t="str">
        <f t="shared" si="3"/>
        <v/>
      </c>
      <c r="AC21" s="14"/>
      <c r="AD21" s="14"/>
      <c r="AE21" s="8" t="str">
        <f t="shared" si="4"/>
        <v/>
      </c>
    </row>
    <row r="22" s="8" customFormat="1" spans="1:30">
      <c r="A22" s="16" t="str">
        <f>IF(ROW()-5&lt;$D$2,ROW()-5+$F$2,"")</f>
        <v/>
      </c>
      <c r="B22" s="10" t="str">
        <f>IF(ROW()-5&lt;$D$2,ROW()-5+$H$2,"")</f>
        <v/>
      </c>
      <c r="C22" s="10" t="str">
        <f>IF(ROW()-5&lt;$D$2,ROW()-5+$J$2,"")</f>
        <v/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3"/>
      <c r="Q22" s="48" t="str">
        <f t="shared" si="0"/>
        <v/>
      </c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</row>
    <row r="23" s="8" customFormat="1" spans="1:30">
      <c r="A23" s="16" t="str">
        <f>IF(ROW()-5&lt;$D$2,ROW()-5+$F$2,"")</f>
        <v/>
      </c>
      <c r="B23" s="10" t="str">
        <f>IF(ROW()-5&lt;$D$2,ROW()-5+$H$2,"")</f>
        <v/>
      </c>
      <c r="C23" s="10" t="str">
        <f>IF(ROW()-5&lt;$D$2,ROW()-5+$J$2,"")</f>
        <v/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3"/>
      <c r="Q23" s="48" t="str">
        <f t="shared" si="0"/>
        <v/>
      </c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</row>
    <row r="24" s="8" customFormat="1" spans="1:30">
      <c r="A24" s="16" t="str">
        <f>IF(ROW()-5&lt;$D$2,ROW()-5+$F$2,"")</f>
        <v/>
      </c>
      <c r="B24" s="10" t="str">
        <f>IF(ROW()-5&lt;$D$2,ROW()-5+$H$2,"")</f>
        <v/>
      </c>
      <c r="C24" s="10" t="str">
        <f>IF(ROW()-5&lt;$D$2,ROW()-5+$J$2,"")</f>
        <v/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48" t="str">
        <f t="shared" si="0"/>
        <v/>
      </c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</row>
    <row r="25" s="9" customFormat="1" ht="30" customHeight="1" spans="1:17">
      <c r="A25" s="18" t="s">
        <v>116</v>
      </c>
      <c r="B25" s="19"/>
      <c r="C25" s="19"/>
      <c r="Q25" s="9" t="str">
        <f t="shared" si="0"/>
        <v/>
      </c>
    </row>
    <row r="26" s="8" customFormat="1" spans="1:9">
      <c r="A26" s="20" t="s">
        <v>79</v>
      </c>
      <c r="B26" s="20"/>
      <c r="C26" s="20"/>
      <c r="D26" s="20" t="s">
        <v>117</v>
      </c>
      <c r="E26" s="20" t="s">
        <v>89</v>
      </c>
      <c r="F26" s="20" t="s">
        <v>90</v>
      </c>
      <c r="G26" s="20" t="s">
        <v>91</v>
      </c>
      <c r="H26" s="20" t="s">
        <v>92</v>
      </c>
      <c r="I26" s="20" t="s">
        <v>118</v>
      </c>
    </row>
    <row r="27" s="8" customFormat="1" spans="1:12">
      <c r="A27" s="21">
        <v>-1</v>
      </c>
      <c r="B27" s="21">
        <v>-1</v>
      </c>
      <c r="C27" s="21">
        <v>-1</v>
      </c>
      <c r="D27" s="22" t="s">
        <v>38</v>
      </c>
      <c r="E27" s="21">
        <v>-1</v>
      </c>
      <c r="F27" s="21">
        <v>-1</v>
      </c>
      <c r="G27" s="21">
        <v>-1</v>
      </c>
      <c r="H27" s="21">
        <v>-1</v>
      </c>
      <c r="I27" s="21">
        <v>-1</v>
      </c>
      <c r="J27" s="41" t="str">
        <f t="shared" ref="J27:J57" si="5">IF(L27="","",VLOOKUP(L27,A27:I57,4,FALSE))</f>
        <v>无角色/玩家</v>
      </c>
      <c r="K27" s="41" t="str">
        <f>_xlfn.TEXTJOIN("、",TRUE,A27:A57)</f>
        <v>-1、123、1000、1001、1002</v>
      </c>
      <c r="L27" s="41" cm="1">
        <f t="array" ref="L27:L31">VALUE(_xlfn.TEXTSPLIT(K27,,"、"))</f>
        <v>-1</v>
      </c>
    </row>
    <row r="28" s="8" customFormat="1" spans="1:12">
      <c r="A28" s="23">
        <v>123</v>
      </c>
      <c r="B28" s="24"/>
      <c r="C28" s="24"/>
      <c r="D28" s="25" t="s">
        <v>36</v>
      </c>
      <c r="E28" s="23">
        <v>6</v>
      </c>
      <c r="F28" s="26">
        <v>33</v>
      </c>
      <c r="G28" s="23">
        <v>12</v>
      </c>
      <c r="H28" s="26">
        <v>34</v>
      </c>
      <c r="I28" s="23">
        <v>0.19</v>
      </c>
      <c r="J28" s="41" t="str">
        <f t="shared" si="5"/>
        <v>马腾云</v>
      </c>
      <c r="K28" s="41"/>
      <c r="L28" s="41">
        <v>123</v>
      </c>
    </row>
    <row r="29" s="8" customFormat="1" spans="1:12">
      <c r="A29" s="23"/>
      <c r="B29" s="24"/>
      <c r="C29" s="24"/>
      <c r="D29" s="25"/>
      <c r="E29" s="23"/>
      <c r="F29" s="26"/>
      <c r="G29" s="23"/>
      <c r="H29" s="26"/>
      <c r="I29" s="23"/>
      <c r="J29" s="41" t="str">
        <f t="shared" si="5"/>
        <v>资12-军衔-夏风</v>
      </c>
      <c r="K29" s="41"/>
      <c r="L29" s="41">
        <v>1000</v>
      </c>
    </row>
    <row r="30" s="8" customFormat="1" spans="1:12">
      <c r="A30" s="23"/>
      <c r="B30" s="24"/>
      <c r="C30" s="24"/>
      <c r="D30" s="25"/>
      <c r="E30" s="23"/>
      <c r="F30" s="26"/>
      <c r="G30" s="23"/>
      <c r="H30" s="26"/>
      <c r="I30" s="23"/>
      <c r="J30" s="41" t="str">
        <f t="shared" si="5"/>
        <v>资13-军衔-翼楠</v>
      </c>
      <c r="K30" s="41"/>
      <c r="L30" s="41">
        <v>1001</v>
      </c>
    </row>
    <row r="31" s="8" customFormat="1" spans="1:12">
      <c r="A31" s="27"/>
      <c r="B31" s="28"/>
      <c r="C31" s="28"/>
      <c r="D31" s="29"/>
      <c r="E31" s="30"/>
      <c r="F31" s="31"/>
      <c r="G31" s="30"/>
      <c r="H31" s="31"/>
      <c r="I31" s="23"/>
      <c r="J31" s="41" t="str">
        <f t="shared" si="5"/>
        <v>资14-军衔-云隐</v>
      </c>
      <c r="K31" s="41"/>
      <c r="L31" s="41">
        <v>1002</v>
      </c>
    </row>
    <row r="32" s="8" customFormat="1" spans="1:12">
      <c r="A32" s="27"/>
      <c r="B32" s="28"/>
      <c r="C32" s="28"/>
      <c r="D32" s="29"/>
      <c r="E32" s="30"/>
      <c r="F32" s="31"/>
      <c r="G32" s="30"/>
      <c r="H32" s="31"/>
      <c r="I32" s="23"/>
      <c r="J32" s="41" t="str">
        <f t="shared" si="5"/>
        <v/>
      </c>
      <c r="K32" s="41"/>
      <c r="L32" s="41"/>
    </row>
    <row r="33" s="8" customFormat="1" spans="1:12">
      <c r="A33" s="27"/>
      <c r="B33" s="28"/>
      <c r="C33" s="28"/>
      <c r="D33" s="29"/>
      <c r="E33" s="30"/>
      <c r="F33" s="31"/>
      <c r="G33" s="30"/>
      <c r="H33" s="31"/>
      <c r="I33" s="30"/>
      <c r="J33" s="41" t="str">
        <f t="shared" si="5"/>
        <v/>
      </c>
      <c r="K33" s="41"/>
      <c r="L33" s="41"/>
    </row>
    <row r="34" s="8" customFormat="1" spans="1:12">
      <c r="A34" s="23"/>
      <c r="B34" s="24"/>
      <c r="C34" s="24"/>
      <c r="D34" s="25"/>
      <c r="E34" s="23"/>
      <c r="F34" s="26"/>
      <c r="G34" s="23"/>
      <c r="H34" s="26"/>
      <c r="I34" s="23"/>
      <c r="J34" s="41" t="str">
        <f t="shared" si="5"/>
        <v/>
      </c>
      <c r="K34" s="41"/>
      <c r="L34" s="41"/>
    </row>
    <row r="35" s="8" customFormat="1" spans="1:12">
      <c r="A35" s="23"/>
      <c r="B35" s="24"/>
      <c r="C35" s="24"/>
      <c r="D35" s="25"/>
      <c r="E35" s="23"/>
      <c r="F35" s="26"/>
      <c r="G35" s="23"/>
      <c r="H35" s="26"/>
      <c r="I35" s="23"/>
      <c r="J35" s="41" t="str">
        <f t="shared" si="5"/>
        <v/>
      </c>
      <c r="K35" s="41"/>
      <c r="L35" s="41"/>
    </row>
    <row r="36" s="8" customFormat="1" spans="1:12">
      <c r="A36" s="23"/>
      <c r="B36" s="24"/>
      <c r="C36" s="24"/>
      <c r="D36" s="25"/>
      <c r="E36" s="23"/>
      <c r="F36" s="26"/>
      <c r="G36" s="23"/>
      <c r="H36" s="26"/>
      <c r="I36" s="23"/>
      <c r="J36" s="41" t="str">
        <f t="shared" si="5"/>
        <v/>
      </c>
      <c r="K36" s="41"/>
      <c r="L36" s="41"/>
    </row>
    <row r="37" s="8" customFormat="1" spans="1:12">
      <c r="A37" s="32"/>
      <c r="B37" s="33"/>
      <c r="C37" s="33"/>
      <c r="D37" s="34"/>
      <c r="E37" s="35"/>
      <c r="F37" s="36"/>
      <c r="G37" s="35"/>
      <c r="H37" s="36"/>
      <c r="I37" s="35"/>
      <c r="J37" s="41" t="str">
        <f t="shared" si="5"/>
        <v/>
      </c>
      <c r="K37" s="41"/>
      <c r="L37" s="41"/>
    </row>
    <row r="38" s="8" customFormat="1" spans="1:12">
      <c r="A38" s="16">
        <f t="shared" ref="A38:A57" si="6">$A5</f>
        <v>1000</v>
      </c>
      <c r="B38" s="16"/>
      <c r="C38" s="16"/>
      <c r="D38" s="37" t="str">
        <f>IF($A38="","",VLOOKUP(A38,A:R,5,FALSE))</f>
        <v>资12-军衔-夏风</v>
      </c>
      <c r="E38" s="37">
        <f>IF($A38="","",VLOOKUP(A38,A:R,11,FALSE))</f>
        <v>6</v>
      </c>
      <c r="F38" s="37">
        <f>IF($A38="","",VLOOKUP(A38,A:R,12,FALSE))</f>
        <v>111</v>
      </c>
      <c r="G38" s="37">
        <f>IF($A38="","",VLOOKUP(A38,A:R,13,FALSE))</f>
        <v>322</v>
      </c>
      <c r="H38" s="37">
        <f>IF($A38="","",VLOOKUP(A38,A:R,14,FALSE))</f>
        <v>213</v>
      </c>
      <c r="I38" s="42">
        <v>-1.5707963</v>
      </c>
      <c r="J38" s="41" t="str">
        <f t="shared" si="5"/>
        <v/>
      </c>
      <c r="K38" s="41"/>
      <c r="L38" s="41"/>
    </row>
    <row r="39" s="8" customFormat="1" spans="1:12">
      <c r="A39" s="16">
        <f t="shared" si="6"/>
        <v>1001</v>
      </c>
      <c r="B39" s="16"/>
      <c r="C39" s="16"/>
      <c r="D39" s="37" t="str">
        <f>IF($A39="","",VLOOKUP(A39,A:R,5,FALSE))</f>
        <v>资13-军衔-翼楠</v>
      </c>
      <c r="E39" s="37">
        <f>IF($A39="","",VLOOKUP(A39,A:R,11,FALSE))</f>
        <v>7</v>
      </c>
      <c r="F39" s="37">
        <f>IF($A39="","",VLOOKUP(A39,A:R,12,FALSE))</f>
        <v>231</v>
      </c>
      <c r="G39" s="37">
        <f>IF($A39="","",VLOOKUP(A39,A:R,13,FALSE))</f>
        <v>123</v>
      </c>
      <c r="H39" s="37">
        <f>IF($A39="","",VLOOKUP(A39,A:R,14,FALSE))</f>
        <v>22</v>
      </c>
      <c r="I39" s="42">
        <v>-1.5707963</v>
      </c>
      <c r="J39" s="41" t="str">
        <f t="shared" si="5"/>
        <v/>
      </c>
      <c r="K39" s="41"/>
      <c r="L39" s="41"/>
    </row>
    <row r="40" s="8" customFormat="1" spans="1:12">
      <c r="A40" s="16">
        <f t="shared" si="6"/>
        <v>1002</v>
      </c>
      <c r="B40" s="16"/>
      <c r="C40" s="16"/>
      <c r="D40" s="37" t="str">
        <f>IF($A40="","",VLOOKUP(A40,A:R,5,FALSE))</f>
        <v>资14-军衔-云隐</v>
      </c>
      <c r="E40" s="37">
        <f>IF($A40="","",VLOOKUP(A40,A:R,11,FALSE))</f>
        <v>8</v>
      </c>
      <c r="F40" s="37">
        <f>IF($A40="","",VLOOKUP(A40,A:R,12,FALSE))</f>
        <v>122</v>
      </c>
      <c r="G40" s="37">
        <f>IF($A40="","",VLOOKUP(A40,A:R,13,FALSE))</f>
        <v>44</v>
      </c>
      <c r="H40" s="37">
        <f>IF($A40="","",VLOOKUP(A40,A:R,14,FALSE))</f>
        <v>66</v>
      </c>
      <c r="I40" s="42">
        <v>-1.58824959222222</v>
      </c>
      <c r="J40" s="41" t="str">
        <f t="shared" si="5"/>
        <v/>
      </c>
      <c r="K40" s="41"/>
      <c r="L40" s="41"/>
    </row>
    <row r="41" s="8" customFormat="1" spans="1:12">
      <c r="A41" s="16" t="str">
        <f t="shared" si="6"/>
        <v/>
      </c>
      <c r="B41" s="16"/>
      <c r="C41" s="16"/>
      <c r="D41" s="37" t="str">
        <f>IF($A41="","",VLOOKUP(A41,A:R,5,FALSE))</f>
        <v/>
      </c>
      <c r="E41" s="37" t="str">
        <f>IF($A41="","",VLOOKUP(A41,A:R,11,FALSE))</f>
        <v/>
      </c>
      <c r="F41" s="37" t="str">
        <f>IF($A41="","",VLOOKUP(A41,A:R,12,FALSE))</f>
        <v/>
      </c>
      <c r="G41" s="37" t="str">
        <f>IF($A41="","",VLOOKUP(A41,A:R,13,FALSE))</f>
        <v/>
      </c>
      <c r="H41" s="37" t="str">
        <f>IF($A41="","",VLOOKUP(A41,A:R,14,FALSE))</f>
        <v/>
      </c>
      <c r="I41" s="42" t="s">
        <v>119</v>
      </c>
      <c r="J41" s="41" t="str">
        <f t="shared" si="5"/>
        <v/>
      </c>
      <c r="K41" s="41"/>
      <c r="L41" s="41"/>
    </row>
    <row r="42" s="8" customFormat="1" spans="1:12">
      <c r="A42" s="16" t="str">
        <f t="shared" si="6"/>
        <v/>
      </c>
      <c r="B42" s="16"/>
      <c r="C42" s="16"/>
      <c r="D42" s="37" t="str">
        <f>IF($A42="","",VLOOKUP(A42,A:R,5,FALSE))</f>
        <v/>
      </c>
      <c r="E42" s="37" t="str">
        <f>IF($A42="","",VLOOKUP(A42,A:R,11,FALSE))</f>
        <v/>
      </c>
      <c r="F42" s="37" t="str">
        <f>IF($A42="","",VLOOKUP(A42,A:R,12,FALSE))</f>
        <v/>
      </c>
      <c r="G42" s="37" t="str">
        <f>IF($A42="","",VLOOKUP(A42,A:R,13,FALSE))</f>
        <v/>
      </c>
      <c r="H42" s="37" t="str">
        <f>IF($A42="","",VLOOKUP(A42,A:R,14,FALSE))</f>
        <v/>
      </c>
      <c r="I42" s="42" t="s">
        <v>119</v>
      </c>
      <c r="J42" s="41" t="str">
        <f t="shared" si="5"/>
        <v/>
      </c>
      <c r="K42" s="41"/>
      <c r="L42" s="41"/>
    </row>
    <row r="43" s="8" customFormat="1" spans="1:12">
      <c r="A43" s="16" t="str">
        <f t="shared" si="6"/>
        <v/>
      </c>
      <c r="B43" s="16"/>
      <c r="C43" s="16"/>
      <c r="D43" s="37" t="str">
        <f>IF($A43="","",VLOOKUP(A43,A:R,5,FALSE))</f>
        <v/>
      </c>
      <c r="E43" s="37" t="str">
        <f>IF($A43="","",VLOOKUP(A43,A:R,11,FALSE))</f>
        <v/>
      </c>
      <c r="F43" s="37" t="str">
        <f>IF($A43="","",VLOOKUP(A43,A:R,12,FALSE))</f>
        <v/>
      </c>
      <c r="G43" s="37" t="str">
        <f>IF($A43="","",VLOOKUP(A43,A:R,13,FALSE))</f>
        <v/>
      </c>
      <c r="H43" s="37" t="str">
        <f>IF($A43="","",VLOOKUP(A43,A:R,14,FALSE))</f>
        <v/>
      </c>
      <c r="I43" s="42" t="s">
        <v>119</v>
      </c>
      <c r="J43" s="41" t="str">
        <f t="shared" si="5"/>
        <v/>
      </c>
      <c r="K43" s="41"/>
      <c r="L43" s="41"/>
    </row>
    <row r="44" s="8" customFormat="1" spans="1:12">
      <c r="A44" s="16" t="str">
        <f t="shared" si="6"/>
        <v/>
      </c>
      <c r="B44" s="16"/>
      <c r="C44" s="16"/>
      <c r="D44" s="37" t="str">
        <f>IF($A44="","",VLOOKUP(A44,A:R,5,FALSE))</f>
        <v/>
      </c>
      <c r="E44" s="37" t="str">
        <f>IF($A44="","",VLOOKUP(A44,A:R,11,FALSE))</f>
        <v/>
      </c>
      <c r="F44" s="37" t="str">
        <f>IF($A44="","",VLOOKUP(A44,A:R,12,FALSE))</f>
        <v/>
      </c>
      <c r="G44" s="37" t="str">
        <f>IF($A44="","",VLOOKUP(A44,A:R,13,FALSE))</f>
        <v/>
      </c>
      <c r="H44" s="37" t="str">
        <f>IF($A44="","",VLOOKUP(A44,A:R,14,FALSE))</f>
        <v/>
      </c>
      <c r="I44" s="42" t="s">
        <v>119</v>
      </c>
      <c r="J44" s="41" t="str">
        <f t="shared" si="5"/>
        <v/>
      </c>
      <c r="K44" s="41"/>
      <c r="L44" s="41"/>
    </row>
    <row r="45" s="8" customFormat="1" spans="1:12">
      <c r="A45" s="16" t="str">
        <f t="shared" si="6"/>
        <v/>
      </c>
      <c r="B45" s="16"/>
      <c r="C45" s="16"/>
      <c r="D45" s="37" t="str">
        <f>IF($A45="","",VLOOKUP(A45,A:R,5,FALSE))</f>
        <v/>
      </c>
      <c r="E45" s="37" t="str">
        <f>IF($A45="","",VLOOKUP(A45,A:R,11,FALSE))</f>
        <v/>
      </c>
      <c r="F45" s="37" t="str">
        <f>IF($A45="","",VLOOKUP(A45,A:R,12,FALSE))</f>
        <v/>
      </c>
      <c r="G45" s="37" t="str">
        <f>IF($A45="","",VLOOKUP(A45,A:R,13,FALSE))</f>
        <v/>
      </c>
      <c r="H45" s="37" t="str">
        <f>IF($A45="","",VLOOKUP(A45,A:R,14,FALSE))</f>
        <v/>
      </c>
      <c r="I45" s="42" t="s">
        <v>119</v>
      </c>
      <c r="J45" s="41" t="str">
        <f t="shared" si="5"/>
        <v/>
      </c>
      <c r="K45" s="41"/>
      <c r="L45" s="41"/>
    </row>
    <row r="46" s="8" customFormat="1" spans="1:12">
      <c r="A46" s="16" t="str">
        <f t="shared" si="6"/>
        <v/>
      </c>
      <c r="B46" s="16"/>
      <c r="C46" s="16"/>
      <c r="D46" s="37" t="str">
        <f>IF($A46="","",VLOOKUP(A46,A:R,5,FALSE))</f>
        <v/>
      </c>
      <c r="E46" s="37" t="str">
        <f>IF($A46="","",VLOOKUP(A46,A:R,11,FALSE))</f>
        <v/>
      </c>
      <c r="F46" s="37" t="str">
        <f>IF($A46="","",VLOOKUP(A46,A:R,12,FALSE))</f>
        <v/>
      </c>
      <c r="G46" s="37" t="str">
        <f>IF($A46="","",VLOOKUP(A46,A:R,13,FALSE))</f>
        <v/>
      </c>
      <c r="H46" s="37" t="str">
        <f>IF($A46="","",VLOOKUP(A46,A:R,14,FALSE))</f>
        <v/>
      </c>
      <c r="I46" s="42" t="s">
        <v>119</v>
      </c>
      <c r="J46" s="41" t="str">
        <f t="shared" si="5"/>
        <v/>
      </c>
      <c r="K46" s="41"/>
      <c r="L46" s="41"/>
    </row>
    <row r="47" s="8" customFormat="1" spans="1:12">
      <c r="A47" s="16" t="str">
        <f t="shared" si="6"/>
        <v/>
      </c>
      <c r="B47" s="16"/>
      <c r="C47" s="16"/>
      <c r="D47" s="37" t="str">
        <f>IF($A47="","",VLOOKUP(A47,A:R,5,FALSE))</f>
        <v/>
      </c>
      <c r="E47" s="37" t="str">
        <f>IF($A47="","",VLOOKUP(A47,A:R,11,FALSE))</f>
        <v/>
      </c>
      <c r="F47" s="37" t="str">
        <f>IF($A47="","",VLOOKUP(A47,A:R,12,FALSE))</f>
        <v/>
      </c>
      <c r="G47" s="37" t="str">
        <f>IF($A47="","",VLOOKUP(A47,A:R,13,FALSE))</f>
        <v/>
      </c>
      <c r="H47" s="37" t="str">
        <f>IF($A47="","",VLOOKUP(A47,A:R,14,FALSE))</f>
        <v/>
      </c>
      <c r="I47" s="42" t="s">
        <v>119</v>
      </c>
      <c r="J47" s="41" t="str">
        <f t="shared" si="5"/>
        <v/>
      </c>
      <c r="K47" s="41"/>
      <c r="L47" s="41"/>
    </row>
    <row r="48" s="8" customFormat="1" spans="1:12">
      <c r="A48" s="16" t="str">
        <f t="shared" si="6"/>
        <v/>
      </c>
      <c r="B48" s="16"/>
      <c r="C48" s="16"/>
      <c r="D48" s="37" t="str">
        <f>IF($A48="","",VLOOKUP(A48,A:R,5,FALSE))</f>
        <v/>
      </c>
      <c r="E48" s="37" t="str">
        <f>IF($A48="","",VLOOKUP(A48,A:R,11,FALSE))</f>
        <v/>
      </c>
      <c r="F48" s="37" t="str">
        <f>IF($A48="","",VLOOKUP(A48,A:R,12,FALSE))</f>
        <v/>
      </c>
      <c r="G48" s="37" t="str">
        <f>IF($A48="","",VLOOKUP(A48,A:R,13,FALSE))</f>
        <v/>
      </c>
      <c r="H48" s="37" t="str">
        <f>IF($A48="","",VLOOKUP(A48,A:R,14,FALSE))</f>
        <v/>
      </c>
      <c r="I48" s="42" t="s">
        <v>119</v>
      </c>
      <c r="J48" s="41" t="str">
        <f t="shared" si="5"/>
        <v/>
      </c>
      <c r="K48" s="41"/>
      <c r="L48" s="41"/>
    </row>
    <row r="49" s="8" customFormat="1" spans="1:12">
      <c r="A49" s="16" t="str">
        <f t="shared" si="6"/>
        <v/>
      </c>
      <c r="B49" s="16"/>
      <c r="C49" s="16"/>
      <c r="D49" s="37" t="str">
        <f>IF($A49="","",VLOOKUP(A49,A:R,5,FALSE))</f>
        <v/>
      </c>
      <c r="E49" s="37" t="str">
        <f>IF($A49="","",VLOOKUP(A49,A:R,11,FALSE))</f>
        <v/>
      </c>
      <c r="F49" s="37" t="str">
        <f>IF($A49="","",VLOOKUP(A49,A:R,12,FALSE))</f>
        <v/>
      </c>
      <c r="G49" s="37" t="str">
        <f>IF($A49="","",VLOOKUP(A49,A:R,13,FALSE))</f>
        <v/>
      </c>
      <c r="H49" s="37" t="str">
        <f>IF($A49="","",VLOOKUP(A49,A:R,14,FALSE))</f>
        <v/>
      </c>
      <c r="I49" s="42" t="s">
        <v>119</v>
      </c>
      <c r="J49" s="41" t="str">
        <f t="shared" si="5"/>
        <v/>
      </c>
      <c r="K49" s="41"/>
      <c r="L49" s="41"/>
    </row>
    <row r="50" s="8" customFormat="1" spans="1:12">
      <c r="A50" s="16" t="str">
        <f t="shared" si="6"/>
        <v/>
      </c>
      <c r="B50" s="16"/>
      <c r="C50" s="16"/>
      <c r="D50" s="37" t="str">
        <f>IF($A50="","",VLOOKUP(A50,A:R,5,FALSE))</f>
        <v/>
      </c>
      <c r="E50" s="37" t="str">
        <f>IF($A50="","",VLOOKUP(A50,A:R,11,FALSE))</f>
        <v/>
      </c>
      <c r="F50" s="37" t="str">
        <f>IF($A50="","",VLOOKUP(A50,A:R,12,FALSE))</f>
        <v/>
      </c>
      <c r="G50" s="37" t="str">
        <f>IF($A50="","",VLOOKUP(A50,A:R,13,FALSE))</f>
        <v/>
      </c>
      <c r="H50" s="37" t="str">
        <f>IF($A50="","",VLOOKUP(A50,A:R,14,FALSE))</f>
        <v/>
      </c>
      <c r="I50" s="42" t="s">
        <v>119</v>
      </c>
      <c r="J50" s="41" t="str">
        <f t="shared" si="5"/>
        <v/>
      </c>
      <c r="K50" s="41"/>
      <c r="L50" s="41"/>
    </row>
    <row r="51" s="8" customFormat="1" spans="1:12">
      <c r="A51" s="16" t="str">
        <f t="shared" si="6"/>
        <v/>
      </c>
      <c r="B51" s="16"/>
      <c r="C51" s="16"/>
      <c r="D51" s="37" t="str">
        <f>IF($A51="","",VLOOKUP(A51,A:R,5,FALSE))</f>
        <v/>
      </c>
      <c r="E51" s="37" t="str">
        <f>IF($A51="","",VLOOKUP(A51,A:R,11,FALSE))</f>
        <v/>
      </c>
      <c r="F51" s="37" t="str">
        <f>IF($A51="","",VLOOKUP(A51,A:R,12,FALSE))</f>
        <v/>
      </c>
      <c r="G51" s="37" t="str">
        <f>IF($A51="","",VLOOKUP(A51,A:R,13,FALSE))</f>
        <v/>
      </c>
      <c r="H51" s="37" t="str">
        <f>IF($A51="","",VLOOKUP(A51,A:R,14,FALSE))</f>
        <v/>
      </c>
      <c r="I51" s="42" t="s">
        <v>119</v>
      </c>
      <c r="J51" s="41" t="str">
        <f t="shared" si="5"/>
        <v/>
      </c>
      <c r="K51" s="41"/>
      <c r="L51" s="41"/>
    </row>
    <row r="52" s="8" customFormat="1" spans="1:12">
      <c r="A52" s="16" t="str">
        <f t="shared" si="6"/>
        <v/>
      </c>
      <c r="B52" s="16"/>
      <c r="C52" s="16"/>
      <c r="D52" s="37" t="str">
        <f>IF($A52="","",VLOOKUP(A52,A:R,5,FALSE))</f>
        <v/>
      </c>
      <c r="E52" s="37" t="str">
        <f>IF($A52="","",VLOOKUP(A52,A:R,11,FALSE))</f>
        <v/>
      </c>
      <c r="F52" s="37" t="str">
        <f>IF($A52="","",VLOOKUP(A52,A:R,12,FALSE))</f>
        <v/>
      </c>
      <c r="G52" s="37" t="str">
        <f>IF($A52="","",VLOOKUP(A52,A:R,13,FALSE))</f>
        <v/>
      </c>
      <c r="H52" s="37" t="str">
        <f>IF($A52="","",VLOOKUP(A52,A:R,14,FALSE))</f>
        <v/>
      </c>
      <c r="I52" s="42" t="s">
        <v>119</v>
      </c>
      <c r="J52" s="41" t="str">
        <f t="shared" si="5"/>
        <v/>
      </c>
      <c r="K52" s="41"/>
      <c r="L52" s="41"/>
    </row>
    <row r="53" s="8" customFormat="1" spans="1:12">
      <c r="A53" s="16" t="str">
        <f t="shared" si="6"/>
        <v/>
      </c>
      <c r="B53" s="16"/>
      <c r="C53" s="16"/>
      <c r="D53" s="37" t="str">
        <f>IF($A53="","",VLOOKUP(A53,A:R,5,FALSE))</f>
        <v/>
      </c>
      <c r="E53" s="37" t="str">
        <f>IF($A53="","",VLOOKUP(A53,A:R,11,FALSE))</f>
        <v/>
      </c>
      <c r="F53" s="37" t="str">
        <f>IF($A53="","",VLOOKUP(A53,A:R,12,FALSE))</f>
        <v/>
      </c>
      <c r="G53" s="37" t="str">
        <f>IF($A53="","",VLOOKUP(A53,A:R,13,FALSE))</f>
        <v/>
      </c>
      <c r="H53" s="37" t="str">
        <f>IF($A53="","",VLOOKUP(A53,A:R,14,FALSE))</f>
        <v/>
      </c>
      <c r="I53" s="42" t="s">
        <v>119</v>
      </c>
      <c r="J53" s="41" t="str">
        <f t="shared" si="5"/>
        <v/>
      </c>
      <c r="K53" s="41"/>
      <c r="L53" s="41"/>
    </row>
    <row r="54" s="8" customFormat="1" spans="1:12">
      <c r="A54" s="16" t="str">
        <f t="shared" si="6"/>
        <v/>
      </c>
      <c r="B54" s="16"/>
      <c r="C54" s="16"/>
      <c r="D54" s="37" t="str">
        <f>IF($A54="","",VLOOKUP(A54,A:R,5,FALSE))</f>
        <v/>
      </c>
      <c r="E54" s="37" t="str">
        <f>IF($A54="","",VLOOKUP(A54,A:R,11,FALSE))</f>
        <v/>
      </c>
      <c r="F54" s="37" t="str">
        <f>IF($A54="","",VLOOKUP(A54,A:R,12,FALSE))</f>
        <v/>
      </c>
      <c r="G54" s="37" t="str">
        <f>IF($A54="","",VLOOKUP(A54,A:R,13,FALSE))</f>
        <v/>
      </c>
      <c r="H54" s="37" t="str">
        <f>IF($A54="","",VLOOKUP(A54,A:R,14,FALSE))</f>
        <v/>
      </c>
      <c r="I54" s="42" t="s">
        <v>119</v>
      </c>
      <c r="J54" s="41" t="str">
        <f t="shared" si="5"/>
        <v/>
      </c>
      <c r="K54" s="41"/>
      <c r="L54" s="41"/>
    </row>
    <row r="55" s="8" customFormat="1" spans="1:12">
      <c r="A55" s="16" t="str">
        <f t="shared" si="6"/>
        <v/>
      </c>
      <c r="B55" s="16"/>
      <c r="C55" s="16"/>
      <c r="D55" s="37" t="str">
        <f>IF($A55="","",VLOOKUP(A55,A:R,5,FALSE))</f>
        <v/>
      </c>
      <c r="E55" s="37" t="str">
        <f>IF($A55="","",VLOOKUP(A55,A:R,11,FALSE))</f>
        <v/>
      </c>
      <c r="F55" s="37" t="str">
        <f>IF($A55="","",VLOOKUP(A55,A:R,12,FALSE))</f>
        <v/>
      </c>
      <c r="G55" s="37" t="str">
        <f>IF($A55="","",VLOOKUP(A55,A:R,13,FALSE))</f>
        <v/>
      </c>
      <c r="H55" s="37" t="str">
        <f>IF($A55="","",VLOOKUP(A55,A:R,14,FALSE))</f>
        <v/>
      </c>
      <c r="I55" s="42" t="s">
        <v>119</v>
      </c>
      <c r="J55" s="41" t="str">
        <f t="shared" si="5"/>
        <v/>
      </c>
      <c r="K55" s="41"/>
      <c r="L55" s="41"/>
    </row>
    <row r="56" s="8" customFormat="1" spans="1:12">
      <c r="A56" s="16" t="str">
        <f t="shared" si="6"/>
        <v/>
      </c>
      <c r="B56" s="16"/>
      <c r="C56" s="16"/>
      <c r="D56" s="37" t="str">
        <f>IF($A56="","",VLOOKUP(A56,A:R,5,FALSE))</f>
        <v/>
      </c>
      <c r="E56" s="37" t="str">
        <f>IF($A56="","",VLOOKUP(A56,A:R,11,FALSE))</f>
        <v/>
      </c>
      <c r="F56" s="37" t="str">
        <f>IF($A56="","",VLOOKUP(A56,A:R,12,FALSE))</f>
        <v/>
      </c>
      <c r="G56" s="37" t="str">
        <f>IF($A56="","",VLOOKUP(A56,A:R,13,FALSE))</f>
        <v/>
      </c>
      <c r="H56" s="37" t="str">
        <f>IF($A56="","",VLOOKUP(A56,A:R,14,FALSE))</f>
        <v/>
      </c>
      <c r="I56" s="42" t="s">
        <v>119</v>
      </c>
      <c r="J56" s="41" t="str">
        <f t="shared" si="5"/>
        <v/>
      </c>
      <c r="K56" s="41"/>
      <c r="L56" s="41"/>
    </row>
    <row r="57" s="8" customFormat="1" spans="1:12">
      <c r="A57" s="16" t="str">
        <f t="shared" si="6"/>
        <v/>
      </c>
      <c r="B57" s="16"/>
      <c r="C57" s="16"/>
      <c r="D57" s="37" t="str">
        <f>IF($A57="","",VLOOKUP(A57,A:R,5,FALSE))</f>
        <v/>
      </c>
      <c r="E57" s="37" t="str">
        <f>IF($A57="","",VLOOKUP(A57,A:R,11,FALSE))</f>
        <v/>
      </c>
      <c r="F57" s="37" t="str">
        <f>IF($A57="","",VLOOKUP(A57,A:R,12,FALSE))</f>
        <v/>
      </c>
      <c r="G57" s="37" t="str">
        <f>IF($A57="","",VLOOKUP(A57,A:R,13,FALSE))</f>
        <v/>
      </c>
      <c r="H57" s="37" t="str">
        <f>IF($A57="","",VLOOKUP(A57,A:R,14,FALSE))</f>
        <v/>
      </c>
      <c r="I57" s="42" t="s">
        <v>119</v>
      </c>
      <c r="J57" s="41" t="str">
        <f t="shared" si="5"/>
        <v/>
      </c>
      <c r="K57" s="41"/>
      <c r="L57" s="41"/>
    </row>
    <row r="58" s="8" customFormat="1" spans="1:13">
      <c r="A58" s="10"/>
      <c r="B58" s="10"/>
      <c r="C58" s="10"/>
      <c r="J58" s="41"/>
      <c r="K58" s="41"/>
      <c r="L58" s="41"/>
      <c r="M58" s="43" t="str">
        <f>IF(L58="","",VLOOKUP(L58,A58:I88,4,FALSE))</f>
        <v/>
      </c>
    </row>
    <row r="59" s="8" customFormat="1" spans="1:13">
      <c r="A59" s="10"/>
      <c r="B59" s="10"/>
      <c r="C59" s="10"/>
      <c r="J59" s="41"/>
      <c r="K59" s="41"/>
      <c r="L59" s="41"/>
      <c r="M59" s="43"/>
    </row>
    <row r="60" s="8" customFormat="1" spans="1:13">
      <c r="A60" s="10"/>
      <c r="B60" s="10"/>
      <c r="C60" s="10"/>
      <c r="J60" s="41"/>
      <c r="K60" s="41"/>
      <c r="L60" s="41"/>
      <c r="M60" s="43"/>
    </row>
    <row r="61" s="8" customFormat="1" spans="1:12">
      <c r="A61" s="10"/>
      <c r="B61" s="10"/>
      <c r="C61" s="10"/>
      <c r="J61" s="41"/>
      <c r="K61" s="41"/>
      <c r="L61" s="41"/>
    </row>
  </sheetData>
  <sheetProtection password="C5D7" sheet="1" selectLockedCells="1" objects="1"/>
  <mergeCells count="1">
    <mergeCell ref="S3:AD3"/>
  </mergeCells>
  <dataValidations count="5">
    <dataValidation type="list" allowBlank="1" showInputMessage="1" showErrorMessage="1" sqref="J5 J6:J24">
      <formula1>"野外场景NPC,副本场景NPC,客户端NPC"</formula1>
    </dataValidation>
    <dataValidation type="list" allowBlank="1" showInputMessage="1" showErrorMessage="1" sqref="P5 P6:P23 AD5:AD24">
      <formula1>"是,否"</formula1>
    </dataValidation>
    <dataValidation type="list" allowBlank="1" showInputMessage="1" showErrorMessage="1" sqref="S5:S6">
      <formula1>"普通,精英,BOSS"</formula1>
    </dataValidation>
    <dataValidation type="list" allowBlank="1" showInputMessage="1" showErrorMessage="1" sqref="V5:V6">
      <formula1>"近战,远程"</formula1>
    </dataValidation>
    <dataValidation type="list" allowBlank="1" showInputMessage="1" showErrorMessage="1" sqref="AA5:AA6">
      <formula1>"中立,敌对,助战"</formula1>
    </dataValidation>
  </dataValidations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C3"/>
  <sheetViews>
    <sheetView workbookViewId="0">
      <selection activeCell="E5" sqref="E5"/>
    </sheetView>
  </sheetViews>
  <sheetFormatPr defaultColWidth="9" defaultRowHeight="13.5" outlineLevelRow="2" outlineLevelCol="2"/>
  <sheetData>
    <row r="2" spans="1:1">
      <c r="A2" t="s">
        <v>120</v>
      </c>
    </row>
    <row r="3" spans="1:3">
      <c r="A3" t="s">
        <v>121</v>
      </c>
      <c r="C3" t="s">
        <v>122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7" tint="0.8"/>
  </sheetPr>
  <dimension ref="A1:AD218"/>
  <sheetViews>
    <sheetView workbookViewId="0">
      <selection activeCell="P16" sqref="P16"/>
    </sheetView>
  </sheetViews>
  <sheetFormatPr defaultColWidth="9" defaultRowHeight="13.5"/>
  <cols>
    <col min="2" max="2" width="9.75" customWidth="1"/>
    <col min="3" max="3" width="11.125" customWidth="1"/>
    <col min="4" max="4" width="10.625" customWidth="1"/>
    <col min="5" max="5" width="10" customWidth="1"/>
    <col min="6" max="6" width="9.875" customWidth="1"/>
    <col min="8" max="8" width="11.5" customWidth="1"/>
    <col min="9" max="9" width="13.125" style="6" customWidth="1"/>
    <col min="15" max="15" width="10" customWidth="1"/>
    <col min="16" max="16" width="10.75" customWidth="1"/>
  </cols>
  <sheetData>
    <row r="1" spans="1:30">
      <c r="A1" s="1" t="s">
        <v>123</v>
      </c>
      <c r="B1" s="4" t="s">
        <v>124</v>
      </c>
      <c r="C1" s="4" t="s">
        <v>125</v>
      </c>
      <c r="D1" s="1" t="s">
        <v>126</v>
      </c>
      <c r="E1" s="4" t="s">
        <v>127</v>
      </c>
      <c r="F1" s="4" t="s">
        <v>128</v>
      </c>
      <c r="G1" s="1" t="s">
        <v>129</v>
      </c>
      <c r="H1" s="1" t="s">
        <v>130</v>
      </c>
      <c r="I1" s="7" t="s">
        <v>131</v>
      </c>
      <c r="J1" s="1" t="s">
        <v>132</v>
      </c>
      <c r="K1" s="1" t="s">
        <v>133</v>
      </c>
      <c r="L1" s="4" t="s">
        <v>134</v>
      </c>
      <c r="M1" s="1" t="s">
        <v>135</v>
      </c>
      <c r="N1" s="1" t="s">
        <v>136</v>
      </c>
      <c r="O1" s="1" t="s">
        <v>137</v>
      </c>
      <c r="P1" s="1" t="s">
        <v>138</v>
      </c>
      <c r="Q1" s="1" t="s">
        <v>139</v>
      </c>
      <c r="R1" s="1" t="s">
        <v>140</v>
      </c>
      <c r="S1" s="1" t="s">
        <v>141</v>
      </c>
      <c r="T1" s="1" t="s">
        <v>142</v>
      </c>
      <c r="U1" s="1" t="s">
        <v>143</v>
      </c>
      <c r="V1" s="1" t="s">
        <v>144</v>
      </c>
      <c r="W1" s="1" t="s">
        <v>145</v>
      </c>
      <c r="X1" s="1" t="s">
        <v>146</v>
      </c>
      <c r="Y1" s="1" t="s">
        <v>147</v>
      </c>
      <c r="Z1" s="1" t="s">
        <v>148</v>
      </c>
      <c r="AA1" s="1" t="s">
        <v>149</v>
      </c>
      <c r="AB1" s="1" t="s">
        <v>150</v>
      </c>
      <c r="AC1" s="1" t="s">
        <v>151</v>
      </c>
      <c r="AD1" s="1" t="s">
        <v>152</v>
      </c>
    </row>
    <row r="2" spans="1:30">
      <c r="A2" s="1" t="s">
        <v>153</v>
      </c>
      <c r="B2" s="4" t="s">
        <v>154</v>
      </c>
      <c r="C2" s="4" t="s">
        <v>153</v>
      </c>
      <c r="D2" s="1" t="s">
        <v>153</v>
      </c>
      <c r="E2" s="4" t="s">
        <v>153</v>
      </c>
      <c r="F2" s="4" t="s">
        <v>153</v>
      </c>
      <c r="G2" s="1" t="s">
        <v>153</v>
      </c>
      <c r="H2" s="1" t="s">
        <v>153</v>
      </c>
      <c r="I2" s="7" t="s">
        <v>154</v>
      </c>
      <c r="J2" s="1" t="s">
        <v>153</v>
      </c>
      <c r="K2" s="1" t="s">
        <v>153</v>
      </c>
      <c r="L2" s="4" t="s">
        <v>153</v>
      </c>
      <c r="M2" s="1" t="s">
        <v>153</v>
      </c>
      <c r="N2" s="1" t="s">
        <v>153</v>
      </c>
      <c r="O2" s="1" t="s">
        <v>153</v>
      </c>
      <c r="P2" s="1" t="s">
        <v>153</v>
      </c>
      <c r="Q2" s="1" t="s">
        <v>153</v>
      </c>
      <c r="R2" s="1" t="s">
        <v>153</v>
      </c>
      <c r="S2" s="1" t="s">
        <v>153</v>
      </c>
      <c r="T2" s="1" t="s">
        <v>153</v>
      </c>
      <c r="U2" s="1" t="s">
        <v>153</v>
      </c>
      <c r="V2" s="1" t="s">
        <v>155</v>
      </c>
      <c r="W2" s="1" t="s">
        <v>153</v>
      </c>
      <c r="X2" s="1" t="s">
        <v>153</v>
      </c>
      <c r="Y2" s="1" t="s">
        <v>155</v>
      </c>
      <c r="Z2" s="1" t="s">
        <v>153</v>
      </c>
      <c r="AA2" s="1" t="s">
        <v>153</v>
      </c>
      <c r="AB2" s="1" t="s">
        <v>153</v>
      </c>
      <c r="AC2" s="1" t="s">
        <v>153</v>
      </c>
      <c r="AD2" s="1" t="s">
        <v>153</v>
      </c>
    </row>
    <row r="3" spans="1:30">
      <c r="A3" s="1" t="s">
        <v>156</v>
      </c>
      <c r="B3" s="4"/>
      <c r="C3" s="4"/>
      <c r="D3" s="1"/>
      <c r="E3" s="4"/>
      <c r="F3" s="4"/>
      <c r="G3" s="1"/>
      <c r="H3" s="1"/>
      <c r="I3" s="7"/>
      <c r="J3" s="1"/>
      <c r="K3" s="1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>
      <c r="A4" s="1" t="s">
        <v>157</v>
      </c>
      <c r="B4" s="4" t="s">
        <v>158</v>
      </c>
      <c r="C4" s="4" t="s">
        <v>159</v>
      </c>
      <c r="D4" s="1" t="s">
        <v>160</v>
      </c>
      <c r="E4" s="4" t="s">
        <v>161</v>
      </c>
      <c r="F4" s="4" t="s">
        <v>162</v>
      </c>
      <c r="G4" s="1" t="s">
        <v>163</v>
      </c>
      <c r="H4" s="1" t="s">
        <v>164</v>
      </c>
      <c r="I4" s="7" t="s">
        <v>165</v>
      </c>
      <c r="J4" s="1" t="s">
        <v>166</v>
      </c>
      <c r="K4" s="1" t="s">
        <v>167</v>
      </c>
      <c r="L4" s="4" t="s">
        <v>168</v>
      </c>
      <c r="M4" s="1" t="s">
        <v>169</v>
      </c>
      <c r="N4" s="1" t="s">
        <v>170</v>
      </c>
      <c r="O4" s="1" t="s">
        <v>171</v>
      </c>
      <c r="P4" s="1" t="s">
        <v>172</v>
      </c>
      <c r="Q4" s="1" t="s">
        <v>173</v>
      </c>
      <c r="R4" s="1" t="s">
        <v>174</v>
      </c>
      <c r="S4" s="1" t="s">
        <v>175</v>
      </c>
      <c r="T4" s="1" t="s">
        <v>176</v>
      </c>
      <c r="U4" s="1" t="s">
        <v>177</v>
      </c>
      <c r="V4" s="1" t="s">
        <v>178</v>
      </c>
      <c r="W4" s="1" t="s">
        <v>179</v>
      </c>
      <c r="X4" s="1" t="s">
        <v>180</v>
      </c>
      <c r="Y4" s="1" t="s">
        <v>181</v>
      </c>
      <c r="Z4" s="1" t="s">
        <v>182</v>
      </c>
      <c r="AA4" s="1" t="s">
        <v>183</v>
      </c>
      <c r="AB4" s="1" t="s">
        <v>184</v>
      </c>
      <c r="AC4" s="1" t="s">
        <v>185</v>
      </c>
      <c r="AD4" s="1" t="s">
        <v>186</v>
      </c>
    </row>
    <row r="5" spans="1:30">
      <c r="A5">
        <v>35001</v>
      </c>
      <c r="C5" s="1"/>
      <c r="D5" s="1">
        <f>IF($A5="","",-1)</f>
        <v>-1</v>
      </c>
      <c r="E5" s="1">
        <v>2</v>
      </c>
      <c r="F5" s="1">
        <v>1</v>
      </c>
      <c r="G5" s="1">
        <f>IF($A5="","",1)</f>
        <v>1</v>
      </c>
      <c r="H5" s="7">
        <f>IF($A5="","",4)</f>
        <v>4</v>
      </c>
      <c r="I5" t="s">
        <v>187</v>
      </c>
      <c r="J5" s="1">
        <f>IF($A5="","",0)</f>
        <v>0</v>
      </c>
      <c r="K5" s="1">
        <f>IF($A5="","",0)</f>
        <v>0</v>
      </c>
      <c r="L5">
        <v>1</v>
      </c>
      <c r="M5">
        <f>IF(L5=1,1,IF(L5="","",0))</f>
        <v>1</v>
      </c>
      <c r="N5" s="1">
        <f>IF(L5=1,0,IF(L5="","",1))</f>
        <v>0</v>
      </c>
      <c r="O5">
        <v>0</v>
      </c>
      <c r="P5">
        <v>0</v>
      </c>
      <c r="Q5" s="1">
        <f>IF($A5="","",0)</f>
        <v>0</v>
      </c>
      <c r="R5" s="1">
        <f>IF($A5="","",-1)</f>
        <v>-1</v>
      </c>
      <c r="S5" s="1">
        <f>IF($A5="","",-1)</f>
        <v>-1</v>
      </c>
      <c r="T5" s="1">
        <f>IF($A5="","",1400)</f>
        <v>1400</v>
      </c>
      <c r="U5" s="1">
        <f>IF($A5="","",0)</f>
        <v>0</v>
      </c>
      <c r="V5" s="1">
        <f>IF($A5="","",-1)</f>
        <v>-1</v>
      </c>
      <c r="W5" s="1">
        <f>IF($A5="","",-1)</f>
        <v>-1</v>
      </c>
      <c r="X5" s="1">
        <f>IF($A5="","",1)</f>
        <v>1</v>
      </c>
      <c r="Y5" s="1">
        <f>IF($A5="","",-1)</f>
        <v>-1</v>
      </c>
      <c r="Z5" s="1">
        <f>IF($A5="","",-1)</f>
        <v>-1</v>
      </c>
      <c r="AA5" s="1">
        <f>IF($A5="","",-1)</f>
        <v>-1</v>
      </c>
      <c r="AB5" s="1">
        <f>IF($A5="","",-1)</f>
        <v>-1</v>
      </c>
      <c r="AC5" s="1">
        <f>IF($A5="","",-1)</f>
        <v>-1</v>
      </c>
      <c r="AD5" s="1">
        <f>IF($A5="","",1)</f>
        <v>1</v>
      </c>
    </row>
    <row r="6" spans="1:30">
      <c r="A6">
        <v>35002</v>
      </c>
      <c r="C6" s="1"/>
      <c r="D6" s="1">
        <f>IF($A6="","",-1)</f>
        <v>-1</v>
      </c>
      <c r="E6">
        <v>2</v>
      </c>
      <c r="F6" s="1">
        <v>1</v>
      </c>
      <c r="G6" s="1">
        <f t="shared" ref="G6:G37" si="0">IF($A6="","",1)</f>
        <v>1</v>
      </c>
      <c r="H6" s="7">
        <f t="shared" ref="H6:H42" si="1">IF($A6="","",4)</f>
        <v>4</v>
      </c>
      <c r="I6" t="s">
        <v>187</v>
      </c>
      <c r="J6" s="1">
        <f t="shared" ref="J6:J37" si="2">IF($A6="","",0)</f>
        <v>0</v>
      </c>
      <c r="K6" s="1">
        <f t="shared" ref="K6:K42" si="3">IF($A6="","",0)</f>
        <v>0</v>
      </c>
      <c r="L6">
        <v>0</v>
      </c>
      <c r="M6">
        <f t="shared" ref="M6:M37" si="4">IF(L6=1,1,IF(L6="","",0))</f>
        <v>0</v>
      </c>
      <c r="N6" s="1">
        <f>IF(L6=1,0,IF(L6="","",1))</f>
        <v>1</v>
      </c>
      <c r="O6">
        <v>0</v>
      </c>
      <c r="P6">
        <v>0</v>
      </c>
      <c r="Q6" s="1">
        <f t="shared" ref="Q6:Q37" si="5">IF($A6="","",0)</f>
        <v>0</v>
      </c>
      <c r="R6" s="1">
        <f t="shared" ref="R6:R37" si="6">IF($A6="","",-1)</f>
        <v>-1</v>
      </c>
      <c r="S6" s="1">
        <f t="shared" ref="S6:S37" si="7">IF($A6="","",-1)</f>
        <v>-1</v>
      </c>
      <c r="T6" s="1">
        <f t="shared" ref="T6:T37" si="8">IF($A6="","",1400)</f>
        <v>1400</v>
      </c>
      <c r="U6" s="1">
        <f t="shared" ref="U6:U37" si="9">IF($A6="","",0)</f>
        <v>0</v>
      </c>
      <c r="V6" s="1">
        <f t="shared" ref="V6:V37" si="10">IF($A6="","",-1)</f>
        <v>-1</v>
      </c>
      <c r="W6" s="1">
        <f t="shared" ref="W6:W37" si="11">IF($A6="","",-1)</f>
        <v>-1</v>
      </c>
      <c r="X6" s="1">
        <f t="shared" ref="X6:X37" si="12">IF($A6="","",1)</f>
        <v>1</v>
      </c>
      <c r="Y6" s="1">
        <f t="shared" ref="Y6:Y37" si="13">IF($A6="","",-1)</f>
        <v>-1</v>
      </c>
      <c r="Z6" s="1">
        <f t="shared" ref="Z6:Z37" si="14">IF($A6="","",-1)</f>
        <v>-1</v>
      </c>
      <c r="AA6" s="1">
        <f t="shared" ref="AA6:AA37" si="15">IF($A6="","",-1)</f>
        <v>-1</v>
      </c>
      <c r="AB6" s="1">
        <f t="shared" ref="AB6:AB37" si="16">IF($A6="","",-1)</f>
        <v>-1</v>
      </c>
      <c r="AC6" s="1">
        <f t="shared" ref="AC6:AC37" si="17">IF($A6="","",-1)</f>
        <v>-1</v>
      </c>
      <c r="AD6" s="1">
        <f t="shared" ref="AD6:AD37" si="18">IF($A6="","",1)</f>
        <v>1</v>
      </c>
    </row>
    <row r="7" spans="1:30">
      <c r="A7">
        <v>35003</v>
      </c>
      <c r="C7" s="1"/>
      <c r="D7" s="1">
        <f t="shared" ref="D7:D38" si="19">IF($A7="","",-1)</f>
        <v>-1</v>
      </c>
      <c r="F7" s="1"/>
      <c r="G7" s="1">
        <f t="shared" si="0"/>
        <v>1</v>
      </c>
      <c r="H7" s="7">
        <f t="shared" si="1"/>
        <v>4</v>
      </c>
      <c r="I7" t="s">
        <v>187</v>
      </c>
      <c r="J7" s="1">
        <f t="shared" si="2"/>
        <v>0</v>
      </c>
      <c r="K7" s="1">
        <f t="shared" si="3"/>
        <v>0</v>
      </c>
      <c r="L7">
        <v>1</v>
      </c>
      <c r="M7">
        <f t="shared" si="4"/>
        <v>1</v>
      </c>
      <c r="N7" s="1">
        <f t="shared" ref="N7:N38" si="20">IF(L7=1,0,IF(L7="","",1))</f>
        <v>0</v>
      </c>
      <c r="O7">
        <v>0</v>
      </c>
      <c r="P7">
        <v>0</v>
      </c>
      <c r="Q7" s="1">
        <f t="shared" si="5"/>
        <v>0</v>
      </c>
      <c r="R7" s="1">
        <f t="shared" si="6"/>
        <v>-1</v>
      </c>
      <c r="S7" s="1">
        <f t="shared" si="7"/>
        <v>-1</v>
      </c>
      <c r="T7" s="1">
        <f t="shared" si="8"/>
        <v>1400</v>
      </c>
      <c r="U7" s="1">
        <f t="shared" si="9"/>
        <v>0</v>
      </c>
      <c r="V7" s="1">
        <f t="shared" si="10"/>
        <v>-1</v>
      </c>
      <c r="W7" s="1">
        <f t="shared" si="11"/>
        <v>-1</v>
      </c>
      <c r="X7" s="1">
        <f t="shared" si="12"/>
        <v>1</v>
      </c>
      <c r="Y7" s="1">
        <f t="shared" si="13"/>
        <v>-1</v>
      </c>
      <c r="Z7" s="1">
        <f t="shared" si="14"/>
        <v>-1</v>
      </c>
      <c r="AA7" s="1">
        <f t="shared" si="15"/>
        <v>-1</v>
      </c>
      <c r="AB7" s="1">
        <f t="shared" si="16"/>
        <v>-1</v>
      </c>
      <c r="AC7" s="1">
        <f t="shared" si="17"/>
        <v>-1</v>
      </c>
      <c r="AD7" s="1">
        <f t="shared" si="18"/>
        <v>1</v>
      </c>
    </row>
    <row r="8" spans="1:30">
      <c r="A8">
        <v>35004</v>
      </c>
      <c r="C8" s="1"/>
      <c r="D8" s="1">
        <f t="shared" si="19"/>
        <v>-1</v>
      </c>
      <c r="F8" s="1"/>
      <c r="G8" s="1">
        <f t="shared" si="0"/>
        <v>1</v>
      </c>
      <c r="H8" s="7">
        <f t="shared" si="1"/>
        <v>4</v>
      </c>
      <c r="I8" t="s">
        <v>187</v>
      </c>
      <c r="J8" s="1">
        <f t="shared" si="2"/>
        <v>0</v>
      </c>
      <c r="K8" s="1">
        <f t="shared" si="3"/>
        <v>0</v>
      </c>
      <c r="L8">
        <v>1</v>
      </c>
      <c r="M8">
        <f t="shared" si="4"/>
        <v>1</v>
      </c>
      <c r="N8" s="1">
        <f t="shared" si="20"/>
        <v>0</v>
      </c>
      <c r="O8">
        <v>0</v>
      </c>
      <c r="P8">
        <v>0</v>
      </c>
      <c r="Q8" s="1">
        <f t="shared" si="5"/>
        <v>0</v>
      </c>
      <c r="R8" s="1">
        <f t="shared" si="6"/>
        <v>-1</v>
      </c>
      <c r="S8" s="1">
        <f t="shared" si="7"/>
        <v>-1</v>
      </c>
      <c r="T8" s="1">
        <f t="shared" si="8"/>
        <v>1400</v>
      </c>
      <c r="U8" s="1">
        <f t="shared" si="9"/>
        <v>0</v>
      </c>
      <c r="V8" s="1">
        <f t="shared" si="10"/>
        <v>-1</v>
      </c>
      <c r="W8" s="1">
        <f t="shared" si="11"/>
        <v>-1</v>
      </c>
      <c r="X8" s="1">
        <f t="shared" si="12"/>
        <v>1</v>
      </c>
      <c r="Y8" s="1">
        <f t="shared" si="13"/>
        <v>-1</v>
      </c>
      <c r="Z8" s="1">
        <f t="shared" si="14"/>
        <v>-1</v>
      </c>
      <c r="AA8" s="1">
        <f t="shared" si="15"/>
        <v>-1</v>
      </c>
      <c r="AB8" s="1">
        <f t="shared" si="16"/>
        <v>-1</v>
      </c>
      <c r="AC8" s="1">
        <f t="shared" si="17"/>
        <v>-1</v>
      </c>
      <c r="AD8" s="1">
        <f t="shared" si="18"/>
        <v>1</v>
      </c>
    </row>
    <row r="9" spans="1:30">
      <c r="A9">
        <v>35005</v>
      </c>
      <c r="C9" s="1"/>
      <c r="D9" s="1">
        <f t="shared" si="19"/>
        <v>-1</v>
      </c>
      <c r="F9" s="1"/>
      <c r="G9" s="1">
        <f t="shared" si="0"/>
        <v>1</v>
      </c>
      <c r="H9" s="7">
        <f t="shared" si="1"/>
        <v>4</v>
      </c>
      <c r="I9" t="s">
        <v>187</v>
      </c>
      <c r="J9" s="1">
        <f t="shared" si="2"/>
        <v>0</v>
      </c>
      <c r="K9" s="1">
        <f t="shared" si="3"/>
        <v>0</v>
      </c>
      <c r="L9">
        <v>1</v>
      </c>
      <c r="M9">
        <f t="shared" si="4"/>
        <v>1</v>
      </c>
      <c r="N9" s="1">
        <f t="shared" si="20"/>
        <v>0</v>
      </c>
      <c r="O9">
        <v>1</v>
      </c>
      <c r="P9">
        <v>1</v>
      </c>
      <c r="Q9" s="1">
        <f t="shared" si="5"/>
        <v>0</v>
      </c>
      <c r="R9" s="1">
        <f t="shared" si="6"/>
        <v>-1</v>
      </c>
      <c r="S9" s="1">
        <f t="shared" si="7"/>
        <v>-1</v>
      </c>
      <c r="T9" s="1">
        <f t="shared" si="8"/>
        <v>1400</v>
      </c>
      <c r="U9" s="1">
        <f t="shared" si="9"/>
        <v>0</v>
      </c>
      <c r="V9" s="1">
        <f t="shared" si="10"/>
        <v>-1</v>
      </c>
      <c r="W9" s="1">
        <f t="shared" si="11"/>
        <v>-1</v>
      </c>
      <c r="X9" s="1">
        <f t="shared" si="12"/>
        <v>1</v>
      </c>
      <c r="Y9" s="1">
        <f t="shared" si="13"/>
        <v>-1</v>
      </c>
      <c r="Z9" s="1">
        <f t="shared" si="14"/>
        <v>-1</v>
      </c>
      <c r="AA9" s="1">
        <f t="shared" si="15"/>
        <v>-1</v>
      </c>
      <c r="AB9" s="1">
        <f t="shared" si="16"/>
        <v>-1</v>
      </c>
      <c r="AC9" s="1">
        <f t="shared" si="17"/>
        <v>-1</v>
      </c>
      <c r="AD9" s="1">
        <f t="shared" si="18"/>
        <v>1</v>
      </c>
    </row>
    <row r="10" spans="1:30">
      <c r="A10">
        <v>35101</v>
      </c>
      <c r="C10" s="1"/>
      <c r="D10" s="1">
        <f t="shared" si="19"/>
        <v>-1</v>
      </c>
      <c r="F10" s="1"/>
      <c r="G10" s="1">
        <f t="shared" si="0"/>
        <v>1</v>
      </c>
      <c r="H10" s="7">
        <f t="shared" si="1"/>
        <v>4</v>
      </c>
      <c r="I10" t="s">
        <v>188</v>
      </c>
      <c r="J10" s="1">
        <f t="shared" si="2"/>
        <v>0</v>
      </c>
      <c r="K10" s="1">
        <f t="shared" si="3"/>
        <v>0</v>
      </c>
      <c r="L10">
        <v>1</v>
      </c>
      <c r="M10">
        <f t="shared" si="4"/>
        <v>1</v>
      </c>
      <c r="N10" s="1">
        <f t="shared" si="20"/>
        <v>0</v>
      </c>
      <c r="O10">
        <v>0</v>
      </c>
      <c r="P10">
        <v>0</v>
      </c>
      <c r="Q10" s="1">
        <f t="shared" si="5"/>
        <v>0</v>
      </c>
      <c r="R10" s="1">
        <f t="shared" si="6"/>
        <v>-1</v>
      </c>
      <c r="S10" s="1">
        <f t="shared" si="7"/>
        <v>-1</v>
      </c>
      <c r="T10" s="1">
        <f t="shared" si="8"/>
        <v>1400</v>
      </c>
      <c r="U10" s="1">
        <f t="shared" si="9"/>
        <v>0</v>
      </c>
      <c r="V10" s="1">
        <f t="shared" si="10"/>
        <v>-1</v>
      </c>
      <c r="W10" s="1">
        <f t="shared" si="11"/>
        <v>-1</v>
      </c>
      <c r="X10" s="1">
        <f t="shared" si="12"/>
        <v>1</v>
      </c>
      <c r="Y10" s="1">
        <f t="shared" si="13"/>
        <v>-1</v>
      </c>
      <c r="Z10" s="1">
        <f t="shared" si="14"/>
        <v>-1</v>
      </c>
      <c r="AA10" s="1">
        <f t="shared" si="15"/>
        <v>-1</v>
      </c>
      <c r="AB10" s="1">
        <f t="shared" si="16"/>
        <v>-1</v>
      </c>
      <c r="AC10" s="1">
        <f t="shared" si="17"/>
        <v>-1</v>
      </c>
      <c r="AD10" s="1">
        <f t="shared" si="18"/>
        <v>1</v>
      </c>
    </row>
    <row r="11" spans="1:30">
      <c r="A11">
        <v>35102</v>
      </c>
      <c r="C11" s="1"/>
      <c r="D11" s="1">
        <f t="shared" si="19"/>
        <v>-1</v>
      </c>
      <c r="F11" s="1"/>
      <c r="G11" s="1">
        <f t="shared" si="0"/>
        <v>1</v>
      </c>
      <c r="H11" s="7">
        <f t="shared" si="1"/>
        <v>4</v>
      </c>
      <c r="I11" t="s">
        <v>188</v>
      </c>
      <c r="J11" s="1">
        <f t="shared" si="2"/>
        <v>0</v>
      </c>
      <c r="K11" s="1">
        <f t="shared" si="3"/>
        <v>0</v>
      </c>
      <c r="L11">
        <v>1</v>
      </c>
      <c r="M11">
        <f t="shared" si="4"/>
        <v>1</v>
      </c>
      <c r="N11" s="1">
        <f t="shared" si="20"/>
        <v>0</v>
      </c>
      <c r="O11">
        <v>0</v>
      </c>
      <c r="P11">
        <v>0</v>
      </c>
      <c r="Q11" s="1">
        <f t="shared" si="5"/>
        <v>0</v>
      </c>
      <c r="R11" s="1">
        <f t="shared" si="6"/>
        <v>-1</v>
      </c>
      <c r="S11" s="1">
        <f t="shared" si="7"/>
        <v>-1</v>
      </c>
      <c r="T11" s="1">
        <f t="shared" si="8"/>
        <v>1400</v>
      </c>
      <c r="U11" s="1">
        <f t="shared" si="9"/>
        <v>0</v>
      </c>
      <c r="V11" s="1">
        <f t="shared" si="10"/>
        <v>-1</v>
      </c>
      <c r="W11" s="1">
        <f t="shared" si="11"/>
        <v>-1</v>
      </c>
      <c r="X11" s="1">
        <f t="shared" si="12"/>
        <v>1</v>
      </c>
      <c r="Y11" s="1">
        <f t="shared" si="13"/>
        <v>-1</v>
      </c>
      <c r="Z11" s="1">
        <f t="shared" si="14"/>
        <v>-1</v>
      </c>
      <c r="AA11" s="1">
        <f t="shared" si="15"/>
        <v>-1</v>
      </c>
      <c r="AB11" s="1">
        <f t="shared" si="16"/>
        <v>-1</v>
      </c>
      <c r="AC11" s="1">
        <f t="shared" si="17"/>
        <v>-1</v>
      </c>
      <c r="AD11" s="1">
        <f t="shared" si="18"/>
        <v>1</v>
      </c>
    </row>
    <row r="12" spans="1:30">
      <c r="A12">
        <v>35103</v>
      </c>
      <c r="C12" s="1"/>
      <c r="D12" s="1">
        <f t="shared" si="19"/>
        <v>-1</v>
      </c>
      <c r="F12" s="1"/>
      <c r="G12" s="1">
        <f t="shared" si="0"/>
        <v>1</v>
      </c>
      <c r="H12" s="7">
        <f t="shared" si="1"/>
        <v>4</v>
      </c>
      <c r="I12" t="s">
        <v>188</v>
      </c>
      <c r="J12" s="1">
        <f t="shared" si="2"/>
        <v>0</v>
      </c>
      <c r="K12" s="1">
        <f t="shared" si="3"/>
        <v>0</v>
      </c>
      <c r="M12" t="str">
        <f t="shared" si="4"/>
        <v/>
      </c>
      <c r="N12" s="1" t="str">
        <f t="shared" si="20"/>
        <v/>
      </c>
      <c r="O12">
        <v>0</v>
      </c>
      <c r="P12">
        <v>0</v>
      </c>
      <c r="Q12" s="1">
        <f t="shared" si="5"/>
        <v>0</v>
      </c>
      <c r="R12" s="1">
        <f t="shared" si="6"/>
        <v>-1</v>
      </c>
      <c r="S12" s="1">
        <f t="shared" si="7"/>
        <v>-1</v>
      </c>
      <c r="T12" s="1">
        <f t="shared" si="8"/>
        <v>1400</v>
      </c>
      <c r="U12" s="1">
        <f t="shared" si="9"/>
        <v>0</v>
      </c>
      <c r="V12" s="1">
        <f t="shared" si="10"/>
        <v>-1</v>
      </c>
      <c r="W12" s="1">
        <f t="shared" si="11"/>
        <v>-1</v>
      </c>
      <c r="X12" s="1">
        <f t="shared" si="12"/>
        <v>1</v>
      </c>
      <c r="Y12" s="1">
        <f t="shared" si="13"/>
        <v>-1</v>
      </c>
      <c r="Z12" s="1">
        <f t="shared" si="14"/>
        <v>-1</v>
      </c>
      <c r="AA12" s="1">
        <f t="shared" si="15"/>
        <v>-1</v>
      </c>
      <c r="AB12" s="1">
        <f t="shared" si="16"/>
        <v>-1</v>
      </c>
      <c r="AC12" s="1">
        <f t="shared" si="17"/>
        <v>-1</v>
      </c>
      <c r="AD12" s="1">
        <f t="shared" si="18"/>
        <v>1</v>
      </c>
    </row>
    <row r="13" spans="1:30">
      <c r="A13">
        <v>35104</v>
      </c>
      <c r="C13" s="1"/>
      <c r="D13" s="1">
        <f t="shared" si="19"/>
        <v>-1</v>
      </c>
      <c r="F13" s="1"/>
      <c r="G13" s="1">
        <f t="shared" si="0"/>
        <v>1</v>
      </c>
      <c r="H13" s="7">
        <f t="shared" si="1"/>
        <v>4</v>
      </c>
      <c r="I13" t="s">
        <v>188</v>
      </c>
      <c r="J13" s="1">
        <f t="shared" si="2"/>
        <v>0</v>
      </c>
      <c r="K13" s="1">
        <f t="shared" si="3"/>
        <v>0</v>
      </c>
      <c r="M13" t="str">
        <f t="shared" si="4"/>
        <v/>
      </c>
      <c r="N13" s="1" t="str">
        <f t="shared" si="20"/>
        <v/>
      </c>
      <c r="O13">
        <v>0</v>
      </c>
      <c r="P13">
        <v>0</v>
      </c>
      <c r="Q13" s="1">
        <f t="shared" si="5"/>
        <v>0</v>
      </c>
      <c r="R13" s="1">
        <f t="shared" si="6"/>
        <v>-1</v>
      </c>
      <c r="S13" s="1">
        <f t="shared" si="7"/>
        <v>-1</v>
      </c>
      <c r="T13" s="1">
        <f t="shared" si="8"/>
        <v>1400</v>
      </c>
      <c r="U13" s="1">
        <f t="shared" si="9"/>
        <v>0</v>
      </c>
      <c r="V13" s="1">
        <f t="shared" si="10"/>
        <v>-1</v>
      </c>
      <c r="W13" s="1">
        <f t="shared" si="11"/>
        <v>-1</v>
      </c>
      <c r="X13" s="1">
        <f t="shared" si="12"/>
        <v>1</v>
      </c>
      <c r="Y13" s="1">
        <f t="shared" si="13"/>
        <v>-1</v>
      </c>
      <c r="Z13" s="1">
        <f t="shared" si="14"/>
        <v>-1</v>
      </c>
      <c r="AA13" s="1">
        <f t="shared" si="15"/>
        <v>-1</v>
      </c>
      <c r="AB13" s="1">
        <f t="shared" si="16"/>
        <v>-1</v>
      </c>
      <c r="AC13" s="1">
        <f t="shared" si="17"/>
        <v>-1</v>
      </c>
      <c r="AD13" s="1">
        <f t="shared" si="18"/>
        <v>1</v>
      </c>
    </row>
    <row r="14" spans="1:30">
      <c r="A14">
        <v>35105</v>
      </c>
      <c r="C14" s="1"/>
      <c r="D14" s="1">
        <f t="shared" si="19"/>
        <v>-1</v>
      </c>
      <c r="F14" s="1"/>
      <c r="G14" s="1">
        <f t="shared" si="0"/>
        <v>1</v>
      </c>
      <c r="H14" s="7">
        <f t="shared" si="1"/>
        <v>4</v>
      </c>
      <c r="I14" t="s">
        <v>188</v>
      </c>
      <c r="J14" s="1">
        <f t="shared" si="2"/>
        <v>0</v>
      </c>
      <c r="K14" s="1">
        <f t="shared" si="3"/>
        <v>0</v>
      </c>
      <c r="M14" t="str">
        <f t="shared" si="4"/>
        <v/>
      </c>
      <c r="N14" s="1" t="str">
        <f t="shared" si="20"/>
        <v/>
      </c>
      <c r="O14">
        <v>0</v>
      </c>
      <c r="P14">
        <v>0</v>
      </c>
      <c r="Q14" s="1">
        <f t="shared" si="5"/>
        <v>0</v>
      </c>
      <c r="R14" s="1">
        <f t="shared" si="6"/>
        <v>-1</v>
      </c>
      <c r="S14" s="1">
        <f t="shared" si="7"/>
        <v>-1</v>
      </c>
      <c r="T14" s="1">
        <f t="shared" si="8"/>
        <v>1400</v>
      </c>
      <c r="U14" s="1">
        <f t="shared" si="9"/>
        <v>0</v>
      </c>
      <c r="V14" s="1">
        <f t="shared" si="10"/>
        <v>-1</v>
      </c>
      <c r="W14" s="1">
        <f t="shared" si="11"/>
        <v>-1</v>
      </c>
      <c r="X14" s="1">
        <f t="shared" si="12"/>
        <v>1</v>
      </c>
      <c r="Y14" s="1">
        <f t="shared" si="13"/>
        <v>-1</v>
      </c>
      <c r="Z14" s="1">
        <f t="shared" si="14"/>
        <v>-1</v>
      </c>
      <c r="AA14" s="1">
        <f t="shared" si="15"/>
        <v>-1</v>
      </c>
      <c r="AB14" s="1">
        <f t="shared" si="16"/>
        <v>-1</v>
      </c>
      <c r="AC14" s="1">
        <f t="shared" si="17"/>
        <v>-1</v>
      </c>
      <c r="AD14" s="1">
        <f t="shared" si="18"/>
        <v>1</v>
      </c>
    </row>
    <row r="15" spans="1:30">
      <c r="A15">
        <v>35106</v>
      </c>
      <c r="C15" s="1"/>
      <c r="D15" s="1">
        <f t="shared" si="19"/>
        <v>-1</v>
      </c>
      <c r="F15" s="1"/>
      <c r="G15" s="1">
        <f t="shared" si="0"/>
        <v>1</v>
      </c>
      <c r="H15" s="7">
        <f t="shared" si="1"/>
        <v>4</v>
      </c>
      <c r="I15" t="s">
        <v>188</v>
      </c>
      <c r="J15" s="1">
        <f t="shared" si="2"/>
        <v>0</v>
      </c>
      <c r="K15" s="1">
        <f t="shared" si="3"/>
        <v>0</v>
      </c>
      <c r="M15" t="str">
        <f t="shared" si="4"/>
        <v/>
      </c>
      <c r="N15" s="1" t="str">
        <f t="shared" si="20"/>
        <v/>
      </c>
      <c r="O15">
        <v>0</v>
      </c>
      <c r="P15">
        <v>0</v>
      </c>
      <c r="Q15" s="1">
        <f t="shared" si="5"/>
        <v>0</v>
      </c>
      <c r="R15" s="1">
        <f t="shared" si="6"/>
        <v>-1</v>
      </c>
      <c r="S15" s="1">
        <f t="shared" si="7"/>
        <v>-1</v>
      </c>
      <c r="T15" s="1">
        <f t="shared" si="8"/>
        <v>1400</v>
      </c>
      <c r="U15" s="1">
        <f t="shared" si="9"/>
        <v>0</v>
      </c>
      <c r="V15" s="1">
        <f t="shared" si="10"/>
        <v>-1</v>
      </c>
      <c r="W15" s="1">
        <f t="shared" si="11"/>
        <v>-1</v>
      </c>
      <c r="X15" s="1">
        <f t="shared" si="12"/>
        <v>1</v>
      </c>
      <c r="Y15" s="1">
        <f t="shared" si="13"/>
        <v>-1</v>
      </c>
      <c r="Z15" s="1">
        <f t="shared" si="14"/>
        <v>-1</v>
      </c>
      <c r="AA15" s="1">
        <f t="shared" si="15"/>
        <v>-1</v>
      </c>
      <c r="AB15" s="1">
        <f t="shared" si="16"/>
        <v>-1</v>
      </c>
      <c r="AC15" s="1">
        <f t="shared" si="17"/>
        <v>-1</v>
      </c>
      <c r="AD15" s="1">
        <f t="shared" si="18"/>
        <v>1</v>
      </c>
    </row>
    <row r="16" spans="1:30">
      <c r="A16">
        <v>35107</v>
      </c>
      <c r="C16" s="1"/>
      <c r="D16" s="1">
        <f t="shared" si="19"/>
        <v>-1</v>
      </c>
      <c r="F16" s="1"/>
      <c r="G16" s="1">
        <f t="shared" si="0"/>
        <v>1</v>
      </c>
      <c r="H16" s="7">
        <f t="shared" si="1"/>
        <v>4</v>
      </c>
      <c r="I16" t="s">
        <v>188</v>
      </c>
      <c r="J16" s="1">
        <f t="shared" si="2"/>
        <v>0</v>
      </c>
      <c r="K16" s="1">
        <f t="shared" si="3"/>
        <v>0</v>
      </c>
      <c r="M16" t="str">
        <f t="shared" si="4"/>
        <v/>
      </c>
      <c r="N16" s="1" t="str">
        <f t="shared" si="20"/>
        <v/>
      </c>
      <c r="O16">
        <v>1</v>
      </c>
      <c r="P16">
        <v>1</v>
      </c>
      <c r="Q16" s="1">
        <f t="shared" si="5"/>
        <v>0</v>
      </c>
      <c r="R16" s="1">
        <f t="shared" si="6"/>
        <v>-1</v>
      </c>
      <c r="S16" s="1">
        <f t="shared" si="7"/>
        <v>-1</v>
      </c>
      <c r="T16" s="1">
        <f t="shared" si="8"/>
        <v>1400</v>
      </c>
      <c r="U16" s="1">
        <f t="shared" si="9"/>
        <v>0</v>
      </c>
      <c r="V16" s="1">
        <f t="shared" si="10"/>
        <v>-1</v>
      </c>
      <c r="W16" s="1">
        <f t="shared" si="11"/>
        <v>-1</v>
      </c>
      <c r="X16" s="1">
        <f t="shared" si="12"/>
        <v>1</v>
      </c>
      <c r="Y16" s="1">
        <f t="shared" si="13"/>
        <v>-1</v>
      </c>
      <c r="Z16" s="1">
        <f t="shared" si="14"/>
        <v>-1</v>
      </c>
      <c r="AA16" s="1">
        <f t="shared" si="15"/>
        <v>-1</v>
      </c>
      <c r="AB16" s="1">
        <f t="shared" si="16"/>
        <v>-1</v>
      </c>
      <c r="AC16" s="1">
        <f t="shared" si="17"/>
        <v>-1</v>
      </c>
      <c r="AD16" s="1">
        <f t="shared" si="18"/>
        <v>1</v>
      </c>
    </row>
    <row r="17" spans="3:30">
      <c r="C17" s="1"/>
      <c r="D17" s="1" t="str">
        <f t="shared" si="19"/>
        <v/>
      </c>
      <c r="F17" s="1"/>
      <c r="G17" s="1" t="str">
        <f t="shared" si="0"/>
        <v/>
      </c>
      <c r="H17" s="7" t="str">
        <f t="shared" si="1"/>
        <v/>
      </c>
      <c r="I17"/>
      <c r="J17" s="1" t="str">
        <f t="shared" si="2"/>
        <v/>
      </c>
      <c r="K17" s="1" t="str">
        <f t="shared" si="3"/>
        <v/>
      </c>
      <c r="L17" s="1"/>
      <c r="M17" t="str">
        <f t="shared" si="4"/>
        <v/>
      </c>
      <c r="N17" s="1" t="str">
        <f t="shared" si="20"/>
        <v/>
      </c>
      <c r="Q17" s="1" t="str">
        <f t="shared" si="5"/>
        <v/>
      </c>
      <c r="R17" s="1" t="str">
        <f t="shared" si="6"/>
        <v/>
      </c>
      <c r="S17" s="1" t="str">
        <f t="shared" si="7"/>
        <v/>
      </c>
      <c r="T17" s="1" t="str">
        <f t="shared" si="8"/>
        <v/>
      </c>
      <c r="U17" s="1" t="str">
        <f t="shared" si="9"/>
        <v/>
      </c>
      <c r="V17" s="1" t="str">
        <f t="shared" si="10"/>
        <v/>
      </c>
      <c r="W17" s="1" t="str">
        <f t="shared" si="11"/>
        <v/>
      </c>
      <c r="X17" s="1" t="str">
        <f t="shared" si="12"/>
        <v/>
      </c>
      <c r="Y17" s="1" t="str">
        <f t="shared" si="13"/>
        <v/>
      </c>
      <c r="Z17" s="1" t="str">
        <f t="shared" si="14"/>
        <v/>
      </c>
      <c r="AA17" s="1" t="str">
        <f t="shared" si="15"/>
        <v/>
      </c>
      <c r="AB17" s="1" t="str">
        <f t="shared" si="16"/>
        <v/>
      </c>
      <c r="AC17" s="1" t="str">
        <f t="shared" si="17"/>
        <v/>
      </c>
      <c r="AD17" s="1" t="str">
        <f t="shared" si="18"/>
        <v/>
      </c>
    </row>
    <row r="18" spans="3:30">
      <c r="C18" s="1"/>
      <c r="D18" s="1" t="str">
        <f t="shared" si="19"/>
        <v/>
      </c>
      <c r="F18" s="1"/>
      <c r="G18" s="1" t="str">
        <f t="shared" si="0"/>
        <v/>
      </c>
      <c r="H18" s="7" t="str">
        <f t="shared" si="1"/>
        <v/>
      </c>
      <c r="I18"/>
      <c r="J18" s="1" t="str">
        <f t="shared" si="2"/>
        <v/>
      </c>
      <c r="K18" s="1" t="str">
        <f t="shared" si="3"/>
        <v/>
      </c>
      <c r="L18" s="1"/>
      <c r="M18" t="str">
        <f t="shared" si="4"/>
        <v/>
      </c>
      <c r="N18" s="1" t="str">
        <f t="shared" si="20"/>
        <v/>
      </c>
      <c r="Q18" s="1" t="str">
        <f t="shared" si="5"/>
        <v/>
      </c>
      <c r="R18" s="1" t="str">
        <f t="shared" si="6"/>
        <v/>
      </c>
      <c r="S18" s="1" t="str">
        <f t="shared" si="7"/>
        <v/>
      </c>
      <c r="T18" s="1" t="str">
        <f t="shared" si="8"/>
        <v/>
      </c>
      <c r="U18" s="1" t="str">
        <f t="shared" si="9"/>
        <v/>
      </c>
      <c r="V18" s="1" t="str">
        <f t="shared" si="10"/>
        <v/>
      </c>
      <c r="W18" s="1" t="str">
        <f t="shared" si="11"/>
        <v/>
      </c>
      <c r="X18" s="1" t="str">
        <f t="shared" si="12"/>
        <v/>
      </c>
      <c r="Y18" s="1" t="str">
        <f t="shared" si="13"/>
        <v/>
      </c>
      <c r="Z18" s="1" t="str">
        <f t="shared" si="14"/>
        <v/>
      </c>
      <c r="AA18" s="1" t="str">
        <f t="shared" si="15"/>
        <v/>
      </c>
      <c r="AB18" s="1" t="str">
        <f t="shared" si="16"/>
        <v/>
      </c>
      <c r="AC18" s="1" t="str">
        <f t="shared" si="17"/>
        <v/>
      </c>
      <c r="AD18" s="1" t="str">
        <f t="shared" si="18"/>
        <v/>
      </c>
    </row>
    <row r="19" spans="3:30">
      <c r="C19" s="1"/>
      <c r="D19" s="1" t="str">
        <f t="shared" si="19"/>
        <v/>
      </c>
      <c r="F19" s="1"/>
      <c r="G19" s="1" t="str">
        <f t="shared" si="0"/>
        <v/>
      </c>
      <c r="H19" s="7" t="str">
        <f t="shared" si="1"/>
        <v/>
      </c>
      <c r="I19"/>
      <c r="J19" s="1" t="str">
        <f t="shared" si="2"/>
        <v/>
      </c>
      <c r="K19" s="1" t="str">
        <f t="shared" si="3"/>
        <v/>
      </c>
      <c r="L19" s="1"/>
      <c r="M19" t="str">
        <f t="shared" si="4"/>
        <v/>
      </c>
      <c r="N19" s="1" t="str">
        <f t="shared" si="20"/>
        <v/>
      </c>
      <c r="Q19" s="1" t="str">
        <f t="shared" si="5"/>
        <v/>
      </c>
      <c r="R19" s="1" t="str">
        <f t="shared" si="6"/>
        <v/>
      </c>
      <c r="S19" s="1" t="str">
        <f t="shared" si="7"/>
        <v/>
      </c>
      <c r="T19" s="1" t="str">
        <f t="shared" si="8"/>
        <v/>
      </c>
      <c r="U19" s="1" t="str">
        <f t="shared" si="9"/>
        <v/>
      </c>
      <c r="V19" s="1" t="str">
        <f t="shared" si="10"/>
        <v/>
      </c>
      <c r="W19" s="1" t="str">
        <f t="shared" si="11"/>
        <v/>
      </c>
      <c r="X19" s="1" t="str">
        <f t="shared" si="12"/>
        <v/>
      </c>
      <c r="Y19" s="1" t="str">
        <f t="shared" si="13"/>
        <v/>
      </c>
      <c r="Z19" s="1" t="str">
        <f t="shared" si="14"/>
        <v/>
      </c>
      <c r="AA19" s="1" t="str">
        <f t="shared" si="15"/>
        <v/>
      </c>
      <c r="AB19" s="1" t="str">
        <f t="shared" si="16"/>
        <v/>
      </c>
      <c r="AC19" s="1" t="str">
        <f t="shared" si="17"/>
        <v/>
      </c>
      <c r="AD19" s="1" t="str">
        <f t="shared" si="18"/>
        <v/>
      </c>
    </row>
    <row r="20" spans="3:30">
      <c r="C20" s="1"/>
      <c r="D20" s="1" t="str">
        <f t="shared" si="19"/>
        <v/>
      </c>
      <c r="F20" s="1"/>
      <c r="G20" s="1" t="str">
        <f t="shared" si="0"/>
        <v/>
      </c>
      <c r="H20" s="7" t="str">
        <f t="shared" si="1"/>
        <v/>
      </c>
      <c r="I20"/>
      <c r="J20" s="1" t="str">
        <f t="shared" si="2"/>
        <v/>
      </c>
      <c r="K20" s="1" t="str">
        <f t="shared" si="3"/>
        <v/>
      </c>
      <c r="L20" s="1"/>
      <c r="M20" t="str">
        <f t="shared" si="4"/>
        <v/>
      </c>
      <c r="N20" s="1" t="str">
        <f t="shared" si="20"/>
        <v/>
      </c>
      <c r="Q20" s="1" t="str">
        <f t="shared" si="5"/>
        <v/>
      </c>
      <c r="R20" s="1" t="str">
        <f t="shared" si="6"/>
        <v/>
      </c>
      <c r="S20" s="1" t="str">
        <f t="shared" si="7"/>
        <v/>
      </c>
      <c r="T20" s="1" t="str">
        <f t="shared" si="8"/>
        <v/>
      </c>
      <c r="U20" s="1" t="str">
        <f t="shared" si="9"/>
        <v/>
      </c>
      <c r="V20" s="1" t="str">
        <f t="shared" si="10"/>
        <v/>
      </c>
      <c r="W20" s="1" t="str">
        <f t="shared" si="11"/>
        <v/>
      </c>
      <c r="X20" s="1" t="str">
        <f t="shared" si="12"/>
        <v/>
      </c>
      <c r="Y20" s="1" t="str">
        <f t="shared" si="13"/>
        <v/>
      </c>
      <c r="Z20" s="1" t="str">
        <f t="shared" si="14"/>
        <v/>
      </c>
      <c r="AA20" s="1" t="str">
        <f t="shared" si="15"/>
        <v/>
      </c>
      <c r="AB20" s="1" t="str">
        <f t="shared" si="16"/>
        <v/>
      </c>
      <c r="AC20" s="1" t="str">
        <f t="shared" si="17"/>
        <v/>
      </c>
      <c r="AD20" s="1" t="str">
        <f t="shared" si="18"/>
        <v/>
      </c>
    </row>
    <row r="21" spans="3:30">
      <c r="C21" s="1"/>
      <c r="D21" s="1" t="str">
        <f t="shared" si="19"/>
        <v/>
      </c>
      <c r="F21" s="1"/>
      <c r="G21" s="1" t="str">
        <f t="shared" si="0"/>
        <v/>
      </c>
      <c r="H21" s="7" t="str">
        <f t="shared" si="1"/>
        <v/>
      </c>
      <c r="I21"/>
      <c r="J21" s="1" t="str">
        <f t="shared" si="2"/>
        <v/>
      </c>
      <c r="K21" s="1" t="str">
        <f t="shared" si="3"/>
        <v/>
      </c>
      <c r="L21" s="1"/>
      <c r="M21" t="str">
        <f t="shared" si="4"/>
        <v/>
      </c>
      <c r="N21" s="1" t="str">
        <f t="shared" si="20"/>
        <v/>
      </c>
      <c r="Q21" s="1" t="str">
        <f t="shared" si="5"/>
        <v/>
      </c>
      <c r="R21" s="1" t="str">
        <f t="shared" si="6"/>
        <v/>
      </c>
      <c r="S21" s="1" t="str">
        <f t="shared" si="7"/>
        <v/>
      </c>
      <c r="T21" s="1" t="str">
        <f t="shared" si="8"/>
        <v/>
      </c>
      <c r="U21" s="1" t="str">
        <f t="shared" si="9"/>
        <v/>
      </c>
      <c r="V21" s="1" t="str">
        <f t="shared" si="10"/>
        <v/>
      </c>
      <c r="W21" s="1" t="str">
        <f t="shared" si="11"/>
        <v/>
      </c>
      <c r="X21" s="1" t="str">
        <f t="shared" si="12"/>
        <v/>
      </c>
      <c r="Y21" s="1" t="str">
        <f t="shared" si="13"/>
        <v/>
      </c>
      <c r="Z21" s="1" t="str">
        <f t="shared" si="14"/>
        <v/>
      </c>
      <c r="AA21" s="1" t="str">
        <f t="shared" si="15"/>
        <v/>
      </c>
      <c r="AB21" s="1" t="str">
        <f t="shared" si="16"/>
        <v/>
      </c>
      <c r="AC21" s="1" t="str">
        <f t="shared" si="17"/>
        <v/>
      </c>
      <c r="AD21" s="1" t="str">
        <f t="shared" si="18"/>
        <v/>
      </c>
    </row>
    <row r="22" spans="3:30">
      <c r="C22" s="1"/>
      <c r="D22" s="1" t="str">
        <f t="shared" si="19"/>
        <v/>
      </c>
      <c r="F22" s="1"/>
      <c r="G22" s="1" t="str">
        <f t="shared" si="0"/>
        <v/>
      </c>
      <c r="H22" s="7" t="str">
        <f t="shared" si="1"/>
        <v/>
      </c>
      <c r="I22"/>
      <c r="J22" s="1" t="str">
        <f t="shared" si="2"/>
        <v/>
      </c>
      <c r="K22" s="1" t="str">
        <f t="shared" si="3"/>
        <v/>
      </c>
      <c r="L22" s="1"/>
      <c r="M22" t="str">
        <f t="shared" si="4"/>
        <v/>
      </c>
      <c r="N22" s="1" t="str">
        <f t="shared" si="20"/>
        <v/>
      </c>
      <c r="Q22" s="1" t="str">
        <f t="shared" si="5"/>
        <v/>
      </c>
      <c r="R22" s="1" t="str">
        <f t="shared" si="6"/>
        <v/>
      </c>
      <c r="S22" s="1" t="str">
        <f t="shared" si="7"/>
        <v/>
      </c>
      <c r="T22" s="1" t="str">
        <f t="shared" si="8"/>
        <v/>
      </c>
      <c r="U22" s="1" t="str">
        <f t="shared" si="9"/>
        <v/>
      </c>
      <c r="V22" s="1" t="str">
        <f t="shared" si="10"/>
        <v/>
      </c>
      <c r="W22" s="1" t="str">
        <f t="shared" si="11"/>
        <v/>
      </c>
      <c r="X22" s="1" t="str">
        <f t="shared" si="12"/>
        <v/>
      </c>
      <c r="Y22" s="1" t="str">
        <f t="shared" si="13"/>
        <v/>
      </c>
      <c r="Z22" s="1" t="str">
        <f t="shared" si="14"/>
        <v/>
      </c>
      <c r="AA22" s="1" t="str">
        <f t="shared" si="15"/>
        <v/>
      </c>
      <c r="AB22" s="1" t="str">
        <f t="shared" si="16"/>
        <v/>
      </c>
      <c r="AC22" s="1" t="str">
        <f t="shared" si="17"/>
        <v/>
      </c>
      <c r="AD22" s="1" t="str">
        <f t="shared" si="18"/>
        <v/>
      </c>
    </row>
    <row r="23" spans="3:30">
      <c r="C23" s="1"/>
      <c r="D23" s="1" t="str">
        <f t="shared" si="19"/>
        <v/>
      </c>
      <c r="F23" s="1"/>
      <c r="G23" s="1" t="str">
        <f t="shared" si="0"/>
        <v/>
      </c>
      <c r="H23" s="7" t="str">
        <f t="shared" si="1"/>
        <v/>
      </c>
      <c r="I23"/>
      <c r="J23" s="1" t="str">
        <f t="shared" si="2"/>
        <v/>
      </c>
      <c r="K23" s="1" t="str">
        <f t="shared" si="3"/>
        <v/>
      </c>
      <c r="L23" s="1"/>
      <c r="M23" t="str">
        <f t="shared" si="4"/>
        <v/>
      </c>
      <c r="N23" s="1" t="str">
        <f t="shared" si="20"/>
        <v/>
      </c>
      <c r="Q23" s="1" t="str">
        <f t="shared" si="5"/>
        <v/>
      </c>
      <c r="R23" s="1" t="str">
        <f t="shared" si="6"/>
        <v/>
      </c>
      <c r="S23" s="1" t="str">
        <f t="shared" si="7"/>
        <v/>
      </c>
      <c r="T23" s="1" t="str">
        <f t="shared" si="8"/>
        <v/>
      </c>
      <c r="U23" s="1" t="str">
        <f t="shared" si="9"/>
        <v/>
      </c>
      <c r="V23" s="1" t="str">
        <f t="shared" si="10"/>
        <v/>
      </c>
      <c r="W23" s="1" t="str">
        <f t="shared" si="11"/>
        <v/>
      </c>
      <c r="X23" s="1" t="str">
        <f t="shared" si="12"/>
        <v/>
      </c>
      <c r="Y23" s="1" t="str">
        <f t="shared" si="13"/>
        <v/>
      </c>
      <c r="Z23" s="1" t="str">
        <f t="shared" si="14"/>
        <v/>
      </c>
      <c r="AA23" s="1" t="str">
        <f t="shared" si="15"/>
        <v/>
      </c>
      <c r="AB23" s="1" t="str">
        <f t="shared" si="16"/>
        <v/>
      </c>
      <c r="AC23" s="1" t="str">
        <f t="shared" si="17"/>
        <v/>
      </c>
      <c r="AD23" s="1" t="str">
        <f t="shared" si="18"/>
        <v/>
      </c>
    </row>
    <row r="24" spans="3:30">
      <c r="C24" s="1"/>
      <c r="D24" s="1" t="str">
        <f t="shared" si="19"/>
        <v/>
      </c>
      <c r="F24" s="1"/>
      <c r="G24" s="1" t="str">
        <f t="shared" si="0"/>
        <v/>
      </c>
      <c r="H24" s="7" t="str">
        <f t="shared" si="1"/>
        <v/>
      </c>
      <c r="I24"/>
      <c r="J24" s="1" t="str">
        <f t="shared" si="2"/>
        <v/>
      </c>
      <c r="K24" s="1" t="str">
        <f t="shared" si="3"/>
        <v/>
      </c>
      <c r="L24" s="1"/>
      <c r="M24" t="str">
        <f t="shared" si="4"/>
        <v/>
      </c>
      <c r="N24" s="1" t="str">
        <f t="shared" si="20"/>
        <v/>
      </c>
      <c r="Q24" s="1" t="str">
        <f t="shared" si="5"/>
        <v/>
      </c>
      <c r="R24" s="1" t="str">
        <f t="shared" si="6"/>
        <v/>
      </c>
      <c r="S24" s="1" t="str">
        <f t="shared" si="7"/>
        <v/>
      </c>
      <c r="T24" s="1" t="str">
        <f t="shared" si="8"/>
        <v/>
      </c>
      <c r="U24" s="1" t="str">
        <f t="shared" si="9"/>
        <v/>
      </c>
      <c r="V24" s="1" t="str">
        <f t="shared" si="10"/>
        <v/>
      </c>
      <c r="W24" s="1" t="str">
        <f t="shared" si="11"/>
        <v/>
      </c>
      <c r="X24" s="1" t="str">
        <f t="shared" si="12"/>
        <v/>
      </c>
      <c r="Y24" s="1" t="str">
        <f t="shared" si="13"/>
        <v/>
      </c>
      <c r="Z24" s="1" t="str">
        <f t="shared" si="14"/>
        <v/>
      </c>
      <c r="AA24" s="1" t="str">
        <f t="shared" si="15"/>
        <v/>
      </c>
      <c r="AB24" s="1" t="str">
        <f t="shared" si="16"/>
        <v/>
      </c>
      <c r="AC24" s="1" t="str">
        <f t="shared" si="17"/>
        <v/>
      </c>
      <c r="AD24" s="1" t="str">
        <f t="shared" si="18"/>
        <v/>
      </c>
    </row>
    <row r="25" spans="3:30">
      <c r="C25" s="1"/>
      <c r="D25" s="1" t="str">
        <f t="shared" si="19"/>
        <v/>
      </c>
      <c r="F25" s="1"/>
      <c r="G25" s="1" t="str">
        <f t="shared" si="0"/>
        <v/>
      </c>
      <c r="H25" s="7" t="str">
        <f t="shared" si="1"/>
        <v/>
      </c>
      <c r="I25"/>
      <c r="J25" s="1" t="str">
        <f t="shared" si="2"/>
        <v/>
      </c>
      <c r="K25" s="1" t="str">
        <f t="shared" si="3"/>
        <v/>
      </c>
      <c r="L25" s="1"/>
      <c r="M25" t="str">
        <f t="shared" si="4"/>
        <v/>
      </c>
      <c r="N25" s="1" t="str">
        <f t="shared" si="20"/>
        <v/>
      </c>
      <c r="Q25" s="1" t="str">
        <f t="shared" si="5"/>
        <v/>
      </c>
      <c r="R25" s="1" t="str">
        <f t="shared" si="6"/>
        <v/>
      </c>
      <c r="S25" s="1" t="str">
        <f t="shared" si="7"/>
        <v/>
      </c>
      <c r="T25" s="1" t="str">
        <f t="shared" si="8"/>
        <v/>
      </c>
      <c r="U25" s="1" t="str">
        <f t="shared" si="9"/>
        <v/>
      </c>
      <c r="V25" s="1" t="str">
        <f t="shared" si="10"/>
        <v/>
      </c>
      <c r="W25" s="1" t="str">
        <f t="shared" si="11"/>
        <v/>
      </c>
      <c r="X25" s="1" t="str">
        <f t="shared" si="12"/>
        <v/>
      </c>
      <c r="Y25" s="1" t="str">
        <f t="shared" si="13"/>
        <v/>
      </c>
      <c r="Z25" s="1" t="str">
        <f t="shared" si="14"/>
        <v/>
      </c>
      <c r="AA25" s="1" t="str">
        <f t="shared" si="15"/>
        <v/>
      </c>
      <c r="AB25" s="1" t="str">
        <f t="shared" si="16"/>
        <v/>
      </c>
      <c r="AC25" s="1" t="str">
        <f t="shared" si="17"/>
        <v/>
      </c>
      <c r="AD25" s="1" t="str">
        <f t="shared" si="18"/>
        <v/>
      </c>
    </row>
    <row r="26" spans="3:30">
      <c r="C26" s="1"/>
      <c r="D26" s="1" t="str">
        <f t="shared" si="19"/>
        <v/>
      </c>
      <c r="F26" s="1"/>
      <c r="G26" s="1" t="str">
        <f t="shared" si="0"/>
        <v/>
      </c>
      <c r="H26" s="7" t="str">
        <f t="shared" si="1"/>
        <v/>
      </c>
      <c r="I26"/>
      <c r="J26" s="1" t="str">
        <f t="shared" si="2"/>
        <v/>
      </c>
      <c r="K26" s="1" t="str">
        <f t="shared" si="3"/>
        <v/>
      </c>
      <c r="L26" s="1"/>
      <c r="M26" t="str">
        <f t="shared" si="4"/>
        <v/>
      </c>
      <c r="N26" s="1" t="str">
        <f t="shared" si="20"/>
        <v/>
      </c>
      <c r="Q26" s="1" t="str">
        <f t="shared" si="5"/>
        <v/>
      </c>
      <c r="R26" s="1" t="str">
        <f t="shared" si="6"/>
        <v/>
      </c>
      <c r="S26" s="1" t="str">
        <f t="shared" si="7"/>
        <v/>
      </c>
      <c r="T26" s="1" t="str">
        <f t="shared" si="8"/>
        <v/>
      </c>
      <c r="U26" s="1" t="str">
        <f t="shared" si="9"/>
        <v/>
      </c>
      <c r="V26" s="1" t="str">
        <f t="shared" si="10"/>
        <v/>
      </c>
      <c r="W26" s="1" t="str">
        <f t="shared" si="11"/>
        <v/>
      </c>
      <c r="X26" s="1" t="str">
        <f t="shared" si="12"/>
        <v/>
      </c>
      <c r="Y26" s="1" t="str">
        <f t="shared" si="13"/>
        <v/>
      </c>
      <c r="Z26" s="1" t="str">
        <f t="shared" si="14"/>
        <v/>
      </c>
      <c r="AA26" s="1" t="str">
        <f t="shared" si="15"/>
        <v/>
      </c>
      <c r="AB26" s="1" t="str">
        <f t="shared" si="16"/>
        <v/>
      </c>
      <c r="AC26" s="1" t="str">
        <f t="shared" si="17"/>
        <v/>
      </c>
      <c r="AD26" s="1" t="str">
        <f t="shared" si="18"/>
        <v/>
      </c>
    </row>
    <row r="27" spans="3:30">
      <c r="C27" s="1"/>
      <c r="D27" s="1" t="str">
        <f t="shared" si="19"/>
        <v/>
      </c>
      <c r="F27" s="1"/>
      <c r="G27" s="1" t="str">
        <f t="shared" si="0"/>
        <v/>
      </c>
      <c r="H27" s="7" t="str">
        <f t="shared" si="1"/>
        <v/>
      </c>
      <c r="I27"/>
      <c r="J27" s="1" t="str">
        <f t="shared" si="2"/>
        <v/>
      </c>
      <c r="K27" s="1" t="str">
        <f t="shared" si="3"/>
        <v/>
      </c>
      <c r="L27" s="1"/>
      <c r="M27" t="str">
        <f t="shared" si="4"/>
        <v/>
      </c>
      <c r="N27" s="1" t="str">
        <f t="shared" si="20"/>
        <v/>
      </c>
      <c r="Q27" s="1" t="str">
        <f t="shared" si="5"/>
        <v/>
      </c>
      <c r="R27" s="1" t="str">
        <f t="shared" si="6"/>
        <v/>
      </c>
      <c r="S27" s="1" t="str">
        <f t="shared" si="7"/>
        <v/>
      </c>
      <c r="T27" s="1" t="str">
        <f t="shared" si="8"/>
        <v/>
      </c>
      <c r="U27" s="1" t="str">
        <f t="shared" si="9"/>
        <v/>
      </c>
      <c r="V27" s="1" t="str">
        <f t="shared" si="10"/>
        <v/>
      </c>
      <c r="W27" s="1" t="str">
        <f t="shared" si="11"/>
        <v/>
      </c>
      <c r="X27" s="1" t="str">
        <f t="shared" si="12"/>
        <v/>
      </c>
      <c r="Y27" s="1" t="str">
        <f t="shared" si="13"/>
        <v/>
      </c>
      <c r="Z27" s="1" t="str">
        <f t="shared" si="14"/>
        <v/>
      </c>
      <c r="AA27" s="1" t="str">
        <f t="shared" si="15"/>
        <v/>
      </c>
      <c r="AB27" s="1" t="str">
        <f t="shared" si="16"/>
        <v/>
      </c>
      <c r="AC27" s="1" t="str">
        <f t="shared" si="17"/>
        <v/>
      </c>
      <c r="AD27" s="1" t="str">
        <f t="shared" si="18"/>
        <v/>
      </c>
    </row>
    <row r="28" spans="3:30">
      <c r="C28" s="1"/>
      <c r="D28" s="1" t="str">
        <f t="shared" si="19"/>
        <v/>
      </c>
      <c r="F28" s="1"/>
      <c r="G28" s="1" t="str">
        <f t="shared" si="0"/>
        <v/>
      </c>
      <c r="H28" s="7" t="str">
        <f t="shared" si="1"/>
        <v/>
      </c>
      <c r="I28"/>
      <c r="J28" s="1" t="str">
        <f t="shared" si="2"/>
        <v/>
      </c>
      <c r="K28" s="1" t="str">
        <f t="shared" si="3"/>
        <v/>
      </c>
      <c r="L28" s="1"/>
      <c r="M28" t="str">
        <f t="shared" si="4"/>
        <v/>
      </c>
      <c r="N28" s="1" t="str">
        <f t="shared" si="20"/>
        <v/>
      </c>
      <c r="Q28" s="1" t="str">
        <f t="shared" si="5"/>
        <v/>
      </c>
      <c r="R28" s="1" t="str">
        <f t="shared" si="6"/>
        <v/>
      </c>
      <c r="S28" s="1" t="str">
        <f t="shared" si="7"/>
        <v/>
      </c>
      <c r="T28" s="1" t="str">
        <f t="shared" si="8"/>
        <v/>
      </c>
      <c r="U28" s="1" t="str">
        <f t="shared" si="9"/>
        <v/>
      </c>
      <c r="V28" s="1" t="str">
        <f t="shared" si="10"/>
        <v/>
      </c>
      <c r="W28" s="1" t="str">
        <f t="shared" si="11"/>
        <v/>
      </c>
      <c r="X28" s="1" t="str">
        <f t="shared" si="12"/>
        <v/>
      </c>
      <c r="Y28" s="1" t="str">
        <f t="shared" si="13"/>
        <v/>
      </c>
      <c r="Z28" s="1" t="str">
        <f t="shared" si="14"/>
        <v/>
      </c>
      <c r="AA28" s="1" t="str">
        <f t="shared" si="15"/>
        <v/>
      </c>
      <c r="AB28" s="1" t="str">
        <f t="shared" si="16"/>
        <v/>
      </c>
      <c r="AC28" s="1" t="str">
        <f t="shared" si="17"/>
        <v/>
      </c>
      <c r="AD28" s="1" t="str">
        <f t="shared" si="18"/>
        <v/>
      </c>
    </row>
    <row r="29" spans="3:30">
      <c r="C29" s="1"/>
      <c r="D29" s="1" t="str">
        <f t="shared" si="19"/>
        <v/>
      </c>
      <c r="F29" s="1"/>
      <c r="G29" s="1" t="str">
        <f t="shared" si="0"/>
        <v/>
      </c>
      <c r="H29" s="7" t="str">
        <f t="shared" si="1"/>
        <v/>
      </c>
      <c r="I29"/>
      <c r="J29" s="1" t="str">
        <f t="shared" si="2"/>
        <v/>
      </c>
      <c r="K29" s="1" t="str">
        <f t="shared" si="3"/>
        <v/>
      </c>
      <c r="L29" s="1"/>
      <c r="M29" t="str">
        <f t="shared" si="4"/>
        <v/>
      </c>
      <c r="N29" s="1" t="str">
        <f t="shared" si="20"/>
        <v/>
      </c>
      <c r="Q29" s="1" t="str">
        <f t="shared" si="5"/>
        <v/>
      </c>
      <c r="R29" s="1" t="str">
        <f t="shared" si="6"/>
        <v/>
      </c>
      <c r="S29" s="1" t="str">
        <f t="shared" si="7"/>
        <v/>
      </c>
      <c r="T29" s="1" t="str">
        <f t="shared" si="8"/>
        <v/>
      </c>
      <c r="U29" s="1" t="str">
        <f t="shared" si="9"/>
        <v/>
      </c>
      <c r="V29" s="1" t="str">
        <f t="shared" si="10"/>
        <v/>
      </c>
      <c r="W29" s="1" t="str">
        <f t="shared" si="11"/>
        <v/>
      </c>
      <c r="X29" s="1" t="str">
        <f t="shared" si="12"/>
        <v/>
      </c>
      <c r="Y29" s="1" t="str">
        <f t="shared" si="13"/>
        <v/>
      </c>
      <c r="Z29" s="1" t="str">
        <f t="shared" si="14"/>
        <v/>
      </c>
      <c r="AA29" s="1" t="str">
        <f t="shared" si="15"/>
        <v/>
      </c>
      <c r="AB29" s="1" t="str">
        <f t="shared" si="16"/>
        <v/>
      </c>
      <c r="AC29" s="1" t="str">
        <f t="shared" si="17"/>
        <v/>
      </c>
      <c r="AD29" s="1" t="str">
        <f t="shared" si="18"/>
        <v/>
      </c>
    </row>
    <row r="30" spans="3:30">
      <c r="C30" s="1"/>
      <c r="D30" s="1" t="str">
        <f t="shared" si="19"/>
        <v/>
      </c>
      <c r="F30" s="1"/>
      <c r="G30" s="1" t="str">
        <f t="shared" si="0"/>
        <v/>
      </c>
      <c r="H30" s="7" t="str">
        <f t="shared" si="1"/>
        <v/>
      </c>
      <c r="I30"/>
      <c r="J30" s="1" t="str">
        <f t="shared" si="2"/>
        <v/>
      </c>
      <c r="K30" s="1" t="str">
        <f t="shared" si="3"/>
        <v/>
      </c>
      <c r="L30" s="1"/>
      <c r="M30" t="str">
        <f t="shared" si="4"/>
        <v/>
      </c>
      <c r="N30" s="1" t="str">
        <f t="shared" si="20"/>
        <v/>
      </c>
      <c r="Q30" s="1" t="str">
        <f t="shared" si="5"/>
        <v/>
      </c>
      <c r="R30" s="1" t="str">
        <f t="shared" si="6"/>
        <v/>
      </c>
      <c r="S30" s="1" t="str">
        <f t="shared" si="7"/>
        <v/>
      </c>
      <c r="T30" s="1" t="str">
        <f t="shared" si="8"/>
        <v/>
      </c>
      <c r="U30" s="1" t="str">
        <f t="shared" si="9"/>
        <v/>
      </c>
      <c r="V30" s="1" t="str">
        <f t="shared" si="10"/>
        <v/>
      </c>
      <c r="W30" s="1" t="str">
        <f t="shared" si="11"/>
        <v/>
      </c>
      <c r="X30" s="1" t="str">
        <f t="shared" si="12"/>
        <v/>
      </c>
      <c r="Y30" s="1" t="str">
        <f t="shared" si="13"/>
        <v/>
      </c>
      <c r="Z30" s="1" t="str">
        <f t="shared" si="14"/>
        <v/>
      </c>
      <c r="AA30" s="1" t="str">
        <f t="shared" si="15"/>
        <v/>
      </c>
      <c r="AB30" s="1" t="str">
        <f t="shared" si="16"/>
        <v/>
      </c>
      <c r="AC30" s="1" t="str">
        <f t="shared" si="17"/>
        <v/>
      </c>
      <c r="AD30" s="1" t="str">
        <f t="shared" si="18"/>
        <v/>
      </c>
    </row>
    <row r="31" spans="3:30">
      <c r="C31" s="1"/>
      <c r="D31" s="1" t="str">
        <f t="shared" si="19"/>
        <v/>
      </c>
      <c r="F31" s="1"/>
      <c r="G31" s="1" t="str">
        <f t="shared" si="0"/>
        <v/>
      </c>
      <c r="H31" s="7" t="str">
        <f t="shared" si="1"/>
        <v/>
      </c>
      <c r="I31"/>
      <c r="J31" s="1" t="str">
        <f t="shared" si="2"/>
        <v/>
      </c>
      <c r="K31" s="1" t="str">
        <f t="shared" si="3"/>
        <v/>
      </c>
      <c r="L31" s="1"/>
      <c r="M31" t="str">
        <f t="shared" si="4"/>
        <v/>
      </c>
      <c r="N31" s="1" t="str">
        <f t="shared" si="20"/>
        <v/>
      </c>
      <c r="Q31" s="1" t="str">
        <f t="shared" si="5"/>
        <v/>
      </c>
      <c r="R31" s="1" t="str">
        <f t="shared" si="6"/>
        <v/>
      </c>
      <c r="S31" s="1" t="str">
        <f t="shared" si="7"/>
        <v/>
      </c>
      <c r="T31" s="1" t="str">
        <f t="shared" si="8"/>
        <v/>
      </c>
      <c r="U31" s="1" t="str">
        <f t="shared" si="9"/>
        <v/>
      </c>
      <c r="V31" s="1" t="str">
        <f t="shared" si="10"/>
        <v/>
      </c>
      <c r="W31" s="1" t="str">
        <f t="shared" si="11"/>
        <v/>
      </c>
      <c r="X31" s="1" t="str">
        <f t="shared" si="12"/>
        <v/>
      </c>
      <c r="Y31" s="1" t="str">
        <f t="shared" si="13"/>
        <v/>
      </c>
      <c r="Z31" s="1" t="str">
        <f t="shared" si="14"/>
        <v/>
      </c>
      <c r="AA31" s="1" t="str">
        <f t="shared" si="15"/>
        <v/>
      </c>
      <c r="AB31" s="1" t="str">
        <f t="shared" si="16"/>
        <v/>
      </c>
      <c r="AC31" s="1" t="str">
        <f t="shared" si="17"/>
        <v/>
      </c>
      <c r="AD31" s="1" t="str">
        <f t="shared" si="18"/>
        <v/>
      </c>
    </row>
    <row r="32" spans="3:30">
      <c r="C32" s="1"/>
      <c r="D32" s="1" t="str">
        <f t="shared" si="19"/>
        <v/>
      </c>
      <c r="F32" s="1"/>
      <c r="G32" s="1" t="str">
        <f t="shared" si="0"/>
        <v/>
      </c>
      <c r="H32" s="7" t="str">
        <f t="shared" si="1"/>
        <v/>
      </c>
      <c r="I32"/>
      <c r="J32" s="1" t="str">
        <f t="shared" si="2"/>
        <v/>
      </c>
      <c r="K32" s="1" t="str">
        <f t="shared" si="3"/>
        <v/>
      </c>
      <c r="L32" s="1"/>
      <c r="M32" t="str">
        <f t="shared" si="4"/>
        <v/>
      </c>
      <c r="N32" s="1" t="str">
        <f t="shared" si="20"/>
        <v/>
      </c>
      <c r="Q32" s="1" t="str">
        <f t="shared" si="5"/>
        <v/>
      </c>
      <c r="R32" s="1" t="str">
        <f t="shared" si="6"/>
        <v/>
      </c>
      <c r="S32" s="1" t="str">
        <f t="shared" si="7"/>
        <v/>
      </c>
      <c r="T32" s="1" t="str">
        <f t="shared" si="8"/>
        <v/>
      </c>
      <c r="U32" s="1" t="str">
        <f t="shared" si="9"/>
        <v/>
      </c>
      <c r="V32" s="1" t="str">
        <f t="shared" si="10"/>
        <v/>
      </c>
      <c r="W32" s="1" t="str">
        <f t="shared" si="11"/>
        <v/>
      </c>
      <c r="X32" s="1" t="str">
        <f t="shared" si="12"/>
        <v/>
      </c>
      <c r="Y32" s="1" t="str">
        <f t="shared" si="13"/>
        <v/>
      </c>
      <c r="Z32" s="1" t="str">
        <f t="shared" si="14"/>
        <v/>
      </c>
      <c r="AA32" s="1" t="str">
        <f t="shared" si="15"/>
        <v/>
      </c>
      <c r="AB32" s="1" t="str">
        <f t="shared" si="16"/>
        <v/>
      </c>
      <c r="AC32" s="1" t="str">
        <f t="shared" si="17"/>
        <v/>
      </c>
      <c r="AD32" s="1" t="str">
        <f t="shared" si="18"/>
        <v/>
      </c>
    </row>
    <row r="33" spans="3:30">
      <c r="C33" s="1"/>
      <c r="D33" s="1" t="str">
        <f t="shared" si="19"/>
        <v/>
      </c>
      <c r="F33" s="1"/>
      <c r="G33" s="1" t="str">
        <f t="shared" si="0"/>
        <v/>
      </c>
      <c r="H33" s="7" t="str">
        <f t="shared" si="1"/>
        <v/>
      </c>
      <c r="I33"/>
      <c r="J33" s="1" t="str">
        <f t="shared" si="2"/>
        <v/>
      </c>
      <c r="K33" s="1" t="str">
        <f t="shared" si="3"/>
        <v/>
      </c>
      <c r="L33" s="1"/>
      <c r="M33" t="str">
        <f t="shared" si="4"/>
        <v/>
      </c>
      <c r="N33" s="1" t="str">
        <f t="shared" si="20"/>
        <v/>
      </c>
      <c r="Q33" s="1" t="str">
        <f t="shared" si="5"/>
        <v/>
      </c>
      <c r="R33" s="1" t="str">
        <f t="shared" si="6"/>
        <v/>
      </c>
      <c r="S33" s="1" t="str">
        <f t="shared" si="7"/>
        <v/>
      </c>
      <c r="T33" s="1" t="str">
        <f t="shared" si="8"/>
        <v/>
      </c>
      <c r="U33" s="1" t="str">
        <f t="shared" si="9"/>
        <v/>
      </c>
      <c r="V33" s="1" t="str">
        <f t="shared" si="10"/>
        <v/>
      </c>
      <c r="W33" s="1" t="str">
        <f t="shared" si="11"/>
        <v/>
      </c>
      <c r="X33" s="1" t="str">
        <f t="shared" si="12"/>
        <v/>
      </c>
      <c r="Y33" s="1" t="str">
        <f t="shared" si="13"/>
        <v/>
      </c>
      <c r="Z33" s="1" t="str">
        <f t="shared" si="14"/>
        <v/>
      </c>
      <c r="AA33" s="1" t="str">
        <f t="shared" si="15"/>
        <v/>
      </c>
      <c r="AB33" s="1" t="str">
        <f t="shared" si="16"/>
        <v/>
      </c>
      <c r="AC33" s="1" t="str">
        <f t="shared" si="17"/>
        <v/>
      </c>
      <c r="AD33" s="1" t="str">
        <f t="shared" si="18"/>
        <v/>
      </c>
    </row>
    <row r="34" spans="3:30">
      <c r="C34" s="1"/>
      <c r="D34" s="1" t="str">
        <f t="shared" si="19"/>
        <v/>
      </c>
      <c r="F34" s="1"/>
      <c r="G34" s="1" t="str">
        <f t="shared" si="0"/>
        <v/>
      </c>
      <c r="H34" s="7" t="str">
        <f t="shared" si="1"/>
        <v/>
      </c>
      <c r="I34"/>
      <c r="J34" s="1" t="str">
        <f t="shared" si="2"/>
        <v/>
      </c>
      <c r="K34" s="1" t="str">
        <f t="shared" si="3"/>
        <v/>
      </c>
      <c r="L34" s="1"/>
      <c r="M34" t="str">
        <f t="shared" si="4"/>
        <v/>
      </c>
      <c r="N34" s="1" t="str">
        <f t="shared" si="20"/>
        <v/>
      </c>
      <c r="Q34" s="1" t="str">
        <f t="shared" si="5"/>
        <v/>
      </c>
      <c r="R34" s="1" t="str">
        <f t="shared" si="6"/>
        <v/>
      </c>
      <c r="S34" s="1" t="str">
        <f t="shared" si="7"/>
        <v/>
      </c>
      <c r="T34" s="1" t="str">
        <f t="shared" si="8"/>
        <v/>
      </c>
      <c r="U34" s="1" t="str">
        <f t="shared" si="9"/>
        <v/>
      </c>
      <c r="V34" s="1" t="str">
        <f t="shared" si="10"/>
        <v/>
      </c>
      <c r="W34" s="1" t="str">
        <f t="shared" si="11"/>
        <v/>
      </c>
      <c r="X34" s="1" t="str">
        <f t="shared" si="12"/>
        <v/>
      </c>
      <c r="Y34" s="1" t="str">
        <f t="shared" si="13"/>
        <v/>
      </c>
      <c r="Z34" s="1" t="str">
        <f t="shared" si="14"/>
        <v/>
      </c>
      <c r="AA34" s="1" t="str">
        <f t="shared" si="15"/>
        <v/>
      </c>
      <c r="AB34" s="1" t="str">
        <f t="shared" si="16"/>
        <v/>
      </c>
      <c r="AC34" s="1" t="str">
        <f t="shared" si="17"/>
        <v/>
      </c>
      <c r="AD34" s="1" t="str">
        <f t="shared" si="18"/>
        <v/>
      </c>
    </row>
    <row r="35" spans="3:30">
      <c r="C35" s="1"/>
      <c r="D35" s="1" t="str">
        <f t="shared" si="19"/>
        <v/>
      </c>
      <c r="F35" s="1"/>
      <c r="G35" s="1" t="str">
        <f t="shared" si="0"/>
        <v/>
      </c>
      <c r="H35" s="7" t="str">
        <f t="shared" si="1"/>
        <v/>
      </c>
      <c r="I35"/>
      <c r="J35" s="1" t="str">
        <f t="shared" si="2"/>
        <v/>
      </c>
      <c r="K35" s="1" t="str">
        <f t="shared" si="3"/>
        <v/>
      </c>
      <c r="L35" s="1"/>
      <c r="M35" t="str">
        <f t="shared" si="4"/>
        <v/>
      </c>
      <c r="N35" s="1" t="str">
        <f t="shared" si="20"/>
        <v/>
      </c>
      <c r="Q35" s="1" t="str">
        <f t="shared" si="5"/>
        <v/>
      </c>
      <c r="R35" s="1" t="str">
        <f t="shared" si="6"/>
        <v/>
      </c>
      <c r="S35" s="1" t="str">
        <f t="shared" si="7"/>
        <v/>
      </c>
      <c r="T35" s="1" t="str">
        <f t="shared" si="8"/>
        <v/>
      </c>
      <c r="U35" s="1" t="str">
        <f t="shared" si="9"/>
        <v/>
      </c>
      <c r="V35" s="1" t="str">
        <f t="shared" si="10"/>
        <v/>
      </c>
      <c r="W35" s="1" t="str">
        <f t="shared" si="11"/>
        <v/>
      </c>
      <c r="X35" s="1" t="str">
        <f t="shared" si="12"/>
        <v/>
      </c>
      <c r="Y35" s="1" t="str">
        <f t="shared" si="13"/>
        <v/>
      </c>
      <c r="Z35" s="1" t="str">
        <f t="shared" si="14"/>
        <v/>
      </c>
      <c r="AA35" s="1" t="str">
        <f t="shared" si="15"/>
        <v/>
      </c>
      <c r="AB35" s="1" t="str">
        <f t="shared" si="16"/>
        <v/>
      </c>
      <c r="AC35" s="1" t="str">
        <f t="shared" si="17"/>
        <v/>
      </c>
      <c r="AD35" s="1" t="str">
        <f t="shared" si="18"/>
        <v/>
      </c>
    </row>
    <row r="36" spans="3:30">
      <c r="C36" s="1"/>
      <c r="D36" s="1" t="str">
        <f t="shared" si="19"/>
        <v/>
      </c>
      <c r="F36" s="1"/>
      <c r="G36" s="1" t="str">
        <f t="shared" si="0"/>
        <v/>
      </c>
      <c r="H36" s="7" t="str">
        <f t="shared" si="1"/>
        <v/>
      </c>
      <c r="I36"/>
      <c r="J36" s="1" t="str">
        <f t="shared" si="2"/>
        <v/>
      </c>
      <c r="K36" s="1" t="str">
        <f t="shared" si="3"/>
        <v/>
      </c>
      <c r="L36" s="1"/>
      <c r="M36" t="str">
        <f t="shared" si="4"/>
        <v/>
      </c>
      <c r="N36" s="1" t="str">
        <f t="shared" si="20"/>
        <v/>
      </c>
      <c r="Q36" s="1" t="str">
        <f t="shared" si="5"/>
        <v/>
      </c>
      <c r="R36" s="1" t="str">
        <f t="shared" si="6"/>
        <v/>
      </c>
      <c r="S36" s="1" t="str">
        <f t="shared" si="7"/>
        <v/>
      </c>
      <c r="T36" s="1" t="str">
        <f t="shared" si="8"/>
        <v/>
      </c>
      <c r="U36" s="1" t="str">
        <f t="shared" si="9"/>
        <v/>
      </c>
      <c r="V36" s="1" t="str">
        <f t="shared" si="10"/>
        <v/>
      </c>
      <c r="W36" s="1" t="str">
        <f t="shared" si="11"/>
        <v/>
      </c>
      <c r="X36" s="1" t="str">
        <f t="shared" si="12"/>
        <v/>
      </c>
      <c r="Y36" s="1" t="str">
        <f t="shared" si="13"/>
        <v/>
      </c>
      <c r="Z36" s="1" t="str">
        <f t="shared" si="14"/>
        <v/>
      </c>
      <c r="AA36" s="1" t="str">
        <f t="shared" si="15"/>
        <v/>
      </c>
      <c r="AB36" s="1" t="str">
        <f t="shared" si="16"/>
        <v/>
      </c>
      <c r="AC36" s="1" t="str">
        <f t="shared" si="17"/>
        <v/>
      </c>
      <c r="AD36" s="1" t="str">
        <f t="shared" si="18"/>
        <v/>
      </c>
    </row>
    <row r="37" spans="3:30">
      <c r="C37" s="1"/>
      <c r="D37" s="1" t="str">
        <f t="shared" si="19"/>
        <v/>
      </c>
      <c r="F37" s="1"/>
      <c r="G37" s="1" t="str">
        <f t="shared" si="0"/>
        <v/>
      </c>
      <c r="H37" s="7" t="str">
        <f t="shared" si="1"/>
        <v/>
      </c>
      <c r="I37"/>
      <c r="J37" s="1" t="str">
        <f t="shared" si="2"/>
        <v/>
      </c>
      <c r="K37" s="1" t="str">
        <f t="shared" si="3"/>
        <v/>
      </c>
      <c r="L37" s="1"/>
      <c r="M37" t="str">
        <f t="shared" si="4"/>
        <v/>
      </c>
      <c r="N37" s="1" t="str">
        <f t="shared" si="20"/>
        <v/>
      </c>
      <c r="Q37" s="1" t="str">
        <f t="shared" si="5"/>
        <v/>
      </c>
      <c r="R37" s="1" t="str">
        <f t="shared" si="6"/>
        <v/>
      </c>
      <c r="S37" s="1" t="str">
        <f t="shared" si="7"/>
        <v/>
      </c>
      <c r="T37" s="1" t="str">
        <f t="shared" si="8"/>
        <v/>
      </c>
      <c r="U37" s="1" t="str">
        <f t="shared" si="9"/>
        <v/>
      </c>
      <c r="V37" s="1" t="str">
        <f t="shared" si="10"/>
        <v/>
      </c>
      <c r="W37" s="1" t="str">
        <f t="shared" si="11"/>
        <v/>
      </c>
      <c r="X37" s="1" t="str">
        <f t="shared" si="12"/>
        <v/>
      </c>
      <c r="Y37" s="1" t="str">
        <f t="shared" si="13"/>
        <v/>
      </c>
      <c r="Z37" s="1" t="str">
        <f t="shared" si="14"/>
        <v/>
      </c>
      <c r="AA37" s="1" t="str">
        <f t="shared" si="15"/>
        <v/>
      </c>
      <c r="AB37" s="1" t="str">
        <f t="shared" si="16"/>
        <v/>
      </c>
      <c r="AC37" s="1" t="str">
        <f t="shared" si="17"/>
        <v/>
      </c>
      <c r="AD37" s="1" t="str">
        <f t="shared" si="18"/>
        <v/>
      </c>
    </row>
    <row r="38" spans="3:30">
      <c r="C38" s="1"/>
      <c r="D38" s="1" t="str">
        <f t="shared" si="19"/>
        <v/>
      </c>
      <c r="F38" s="1"/>
      <c r="G38" s="1" t="str">
        <f t="shared" ref="G38:G69" si="21">IF($A38="","",1)</f>
        <v/>
      </c>
      <c r="H38" s="7" t="str">
        <f t="shared" si="1"/>
        <v/>
      </c>
      <c r="I38"/>
      <c r="J38" s="1" t="str">
        <f t="shared" ref="J38:J69" si="22">IF($A38="","",0)</f>
        <v/>
      </c>
      <c r="K38" s="1" t="str">
        <f t="shared" si="3"/>
        <v/>
      </c>
      <c r="L38" s="1"/>
      <c r="M38" t="str">
        <f t="shared" ref="M38:M69" si="23">IF(L38=1,1,IF(L38="","",0))</f>
        <v/>
      </c>
      <c r="N38" s="1" t="str">
        <f t="shared" si="20"/>
        <v/>
      </c>
      <c r="Q38" s="1" t="str">
        <f t="shared" ref="Q38:Q69" si="24">IF($A38="","",0)</f>
        <v/>
      </c>
      <c r="R38" s="1" t="str">
        <f t="shared" ref="R38:R69" si="25">IF($A38="","",-1)</f>
        <v/>
      </c>
      <c r="S38" s="1" t="str">
        <f t="shared" ref="S38:S69" si="26">IF($A38="","",-1)</f>
        <v/>
      </c>
      <c r="T38" s="1" t="str">
        <f t="shared" ref="T38:T69" si="27">IF($A38="","",1400)</f>
        <v/>
      </c>
      <c r="U38" s="1" t="str">
        <f t="shared" ref="U38:U69" si="28">IF($A38="","",0)</f>
        <v/>
      </c>
      <c r="V38" s="1" t="str">
        <f t="shared" ref="V38:V69" si="29">IF($A38="","",-1)</f>
        <v/>
      </c>
      <c r="W38" s="1" t="str">
        <f t="shared" ref="W38:W69" si="30">IF($A38="","",-1)</f>
        <v/>
      </c>
      <c r="X38" s="1" t="str">
        <f t="shared" ref="X38:X69" si="31">IF($A38="","",1)</f>
        <v/>
      </c>
      <c r="Y38" s="1" t="str">
        <f t="shared" ref="Y38:Y69" si="32">IF($A38="","",-1)</f>
        <v/>
      </c>
      <c r="Z38" s="1" t="str">
        <f t="shared" ref="Z38:Z69" si="33">IF($A38="","",-1)</f>
        <v/>
      </c>
      <c r="AA38" s="1" t="str">
        <f t="shared" ref="AA38:AA69" si="34">IF($A38="","",-1)</f>
        <v/>
      </c>
      <c r="AB38" s="1" t="str">
        <f t="shared" ref="AB38:AB69" si="35">IF($A38="","",-1)</f>
        <v/>
      </c>
      <c r="AC38" s="1" t="str">
        <f t="shared" ref="AC38:AC69" si="36">IF($A38="","",-1)</f>
        <v/>
      </c>
      <c r="AD38" s="1" t="str">
        <f t="shared" ref="AD38:AD69" si="37">IF($A38="","",1)</f>
        <v/>
      </c>
    </row>
    <row r="39" spans="3:30">
      <c r="C39" s="1"/>
      <c r="D39" s="1" t="str">
        <f t="shared" ref="D39:D70" si="38">IF($A39="","",-1)</f>
        <v/>
      </c>
      <c r="F39" s="1"/>
      <c r="G39" s="1" t="str">
        <f t="shared" si="21"/>
        <v/>
      </c>
      <c r="H39" s="7" t="str">
        <f t="shared" si="1"/>
        <v/>
      </c>
      <c r="I39"/>
      <c r="J39" s="1" t="str">
        <f t="shared" si="22"/>
        <v/>
      </c>
      <c r="K39" s="1" t="str">
        <f t="shared" si="3"/>
        <v/>
      </c>
      <c r="L39" s="1"/>
      <c r="M39" t="str">
        <f t="shared" si="23"/>
        <v/>
      </c>
      <c r="N39" s="1" t="str">
        <f t="shared" ref="N39:N70" si="39">IF(L39=1,0,IF(L39="","",1))</f>
        <v/>
      </c>
      <c r="Q39" s="1" t="str">
        <f t="shared" si="24"/>
        <v/>
      </c>
      <c r="R39" s="1" t="str">
        <f t="shared" si="25"/>
        <v/>
      </c>
      <c r="S39" s="1" t="str">
        <f t="shared" si="26"/>
        <v/>
      </c>
      <c r="T39" s="1" t="str">
        <f t="shared" si="27"/>
        <v/>
      </c>
      <c r="U39" s="1" t="str">
        <f t="shared" si="28"/>
        <v/>
      </c>
      <c r="V39" s="1" t="str">
        <f t="shared" si="29"/>
        <v/>
      </c>
      <c r="W39" s="1" t="str">
        <f t="shared" si="30"/>
        <v/>
      </c>
      <c r="X39" s="1" t="str">
        <f t="shared" si="31"/>
        <v/>
      </c>
      <c r="Y39" s="1" t="str">
        <f t="shared" si="32"/>
        <v/>
      </c>
      <c r="Z39" s="1" t="str">
        <f t="shared" si="33"/>
        <v/>
      </c>
      <c r="AA39" s="1" t="str">
        <f t="shared" si="34"/>
        <v/>
      </c>
      <c r="AB39" s="1" t="str">
        <f t="shared" si="35"/>
        <v/>
      </c>
      <c r="AC39" s="1" t="str">
        <f t="shared" si="36"/>
        <v/>
      </c>
      <c r="AD39" s="1" t="str">
        <f t="shared" si="37"/>
        <v/>
      </c>
    </row>
    <row r="40" spans="3:30">
      <c r="C40" s="1"/>
      <c r="D40" s="1" t="str">
        <f t="shared" si="38"/>
        <v/>
      </c>
      <c r="F40" s="1"/>
      <c r="G40" s="1" t="str">
        <f t="shared" si="21"/>
        <v/>
      </c>
      <c r="H40" s="7" t="str">
        <f t="shared" si="1"/>
        <v/>
      </c>
      <c r="I40"/>
      <c r="J40" s="1" t="str">
        <f t="shared" si="22"/>
        <v/>
      </c>
      <c r="K40" s="1" t="str">
        <f t="shared" si="3"/>
        <v/>
      </c>
      <c r="L40" s="1"/>
      <c r="M40" t="str">
        <f t="shared" si="23"/>
        <v/>
      </c>
      <c r="N40" s="1" t="str">
        <f t="shared" si="39"/>
        <v/>
      </c>
      <c r="Q40" s="1" t="str">
        <f t="shared" si="24"/>
        <v/>
      </c>
      <c r="R40" s="1" t="str">
        <f t="shared" si="25"/>
        <v/>
      </c>
      <c r="S40" s="1" t="str">
        <f t="shared" si="26"/>
        <v/>
      </c>
      <c r="T40" s="1" t="str">
        <f t="shared" si="27"/>
        <v/>
      </c>
      <c r="U40" s="1" t="str">
        <f t="shared" si="28"/>
        <v/>
      </c>
      <c r="V40" s="1" t="str">
        <f t="shared" si="29"/>
        <v/>
      </c>
      <c r="W40" s="1" t="str">
        <f t="shared" si="30"/>
        <v/>
      </c>
      <c r="X40" s="1" t="str">
        <f t="shared" si="31"/>
        <v/>
      </c>
      <c r="Y40" s="1" t="str">
        <f t="shared" si="32"/>
        <v/>
      </c>
      <c r="Z40" s="1" t="str">
        <f t="shared" si="33"/>
        <v/>
      </c>
      <c r="AA40" s="1" t="str">
        <f t="shared" si="34"/>
        <v/>
      </c>
      <c r="AB40" s="1" t="str">
        <f t="shared" si="35"/>
        <v/>
      </c>
      <c r="AC40" s="1" t="str">
        <f t="shared" si="36"/>
        <v/>
      </c>
      <c r="AD40" s="1" t="str">
        <f t="shared" si="37"/>
        <v/>
      </c>
    </row>
    <row r="41" spans="3:30">
      <c r="C41" s="1"/>
      <c r="D41" s="1" t="str">
        <f t="shared" si="38"/>
        <v/>
      </c>
      <c r="F41" s="1"/>
      <c r="G41" s="1" t="str">
        <f t="shared" si="21"/>
        <v/>
      </c>
      <c r="H41" s="7" t="str">
        <f t="shared" si="1"/>
        <v/>
      </c>
      <c r="I41"/>
      <c r="J41" s="1" t="str">
        <f t="shared" si="22"/>
        <v/>
      </c>
      <c r="K41" s="1" t="str">
        <f t="shared" si="3"/>
        <v/>
      </c>
      <c r="L41" s="1"/>
      <c r="M41" t="str">
        <f t="shared" si="23"/>
        <v/>
      </c>
      <c r="N41" s="1" t="str">
        <f t="shared" si="39"/>
        <v/>
      </c>
      <c r="Q41" s="1" t="str">
        <f t="shared" si="24"/>
        <v/>
      </c>
      <c r="R41" s="1" t="str">
        <f t="shared" si="25"/>
        <v/>
      </c>
      <c r="S41" s="1" t="str">
        <f t="shared" si="26"/>
        <v/>
      </c>
      <c r="T41" s="1" t="str">
        <f t="shared" si="27"/>
        <v/>
      </c>
      <c r="U41" s="1" t="str">
        <f t="shared" si="28"/>
        <v/>
      </c>
      <c r="V41" s="1" t="str">
        <f t="shared" si="29"/>
        <v/>
      </c>
      <c r="W41" s="1" t="str">
        <f t="shared" si="30"/>
        <v/>
      </c>
      <c r="X41" s="1" t="str">
        <f t="shared" si="31"/>
        <v/>
      </c>
      <c r="Y41" s="1" t="str">
        <f t="shared" si="32"/>
        <v/>
      </c>
      <c r="Z41" s="1" t="str">
        <f t="shared" si="33"/>
        <v/>
      </c>
      <c r="AA41" s="1" t="str">
        <f t="shared" si="34"/>
        <v/>
      </c>
      <c r="AB41" s="1" t="str">
        <f t="shared" si="35"/>
        <v/>
      </c>
      <c r="AC41" s="1" t="str">
        <f t="shared" si="36"/>
        <v/>
      </c>
      <c r="AD41" s="1" t="str">
        <f t="shared" si="37"/>
        <v/>
      </c>
    </row>
    <row r="42" spans="3:30">
      <c r="C42" s="1"/>
      <c r="D42" s="1" t="str">
        <f t="shared" si="38"/>
        <v/>
      </c>
      <c r="F42" s="1"/>
      <c r="G42" s="1" t="str">
        <f t="shared" si="21"/>
        <v/>
      </c>
      <c r="H42" s="7" t="str">
        <f t="shared" si="1"/>
        <v/>
      </c>
      <c r="I42"/>
      <c r="J42" s="1" t="str">
        <f t="shared" si="22"/>
        <v/>
      </c>
      <c r="K42" s="1" t="str">
        <f t="shared" si="3"/>
        <v/>
      </c>
      <c r="L42" s="1"/>
      <c r="M42" t="str">
        <f t="shared" si="23"/>
        <v/>
      </c>
      <c r="N42" s="1" t="str">
        <f t="shared" si="39"/>
        <v/>
      </c>
      <c r="Q42" s="1" t="str">
        <f t="shared" si="24"/>
        <v/>
      </c>
      <c r="R42" s="1" t="str">
        <f t="shared" si="25"/>
        <v/>
      </c>
      <c r="S42" s="1" t="str">
        <f t="shared" si="26"/>
        <v/>
      </c>
      <c r="T42" s="1" t="str">
        <f t="shared" si="27"/>
        <v/>
      </c>
      <c r="U42" s="1" t="str">
        <f t="shared" si="28"/>
        <v/>
      </c>
      <c r="V42" s="1" t="str">
        <f t="shared" si="29"/>
        <v/>
      </c>
      <c r="W42" s="1" t="str">
        <f t="shared" si="30"/>
        <v/>
      </c>
      <c r="X42" s="1" t="str">
        <f t="shared" si="31"/>
        <v/>
      </c>
      <c r="Y42" s="1" t="str">
        <f t="shared" si="32"/>
        <v/>
      </c>
      <c r="Z42" s="1" t="str">
        <f t="shared" si="33"/>
        <v/>
      </c>
      <c r="AA42" s="1" t="str">
        <f t="shared" si="34"/>
        <v/>
      </c>
      <c r="AB42" s="1" t="str">
        <f t="shared" si="35"/>
        <v/>
      </c>
      <c r="AC42" s="1" t="str">
        <f t="shared" si="36"/>
        <v/>
      </c>
      <c r="AD42" s="1" t="str">
        <f t="shared" si="37"/>
        <v/>
      </c>
    </row>
    <row r="43" spans="3:30">
      <c r="C43" s="1"/>
      <c r="D43" s="1" t="str">
        <f t="shared" si="38"/>
        <v/>
      </c>
      <c r="F43" s="1"/>
      <c r="G43" s="1" t="str">
        <f t="shared" si="21"/>
        <v/>
      </c>
      <c r="H43" s="7" t="str">
        <f t="shared" ref="H43:H74" si="40">IF($A43="","",4)</f>
        <v/>
      </c>
      <c r="I43"/>
      <c r="J43" s="1" t="str">
        <f t="shared" si="22"/>
        <v/>
      </c>
      <c r="K43" s="1" t="str">
        <f t="shared" ref="K43:K74" si="41">IF($A43="","",0)</f>
        <v/>
      </c>
      <c r="L43" s="1"/>
      <c r="M43" t="str">
        <f t="shared" si="23"/>
        <v/>
      </c>
      <c r="N43" s="1" t="str">
        <f t="shared" si="39"/>
        <v/>
      </c>
      <c r="Q43" s="1" t="str">
        <f t="shared" si="24"/>
        <v/>
      </c>
      <c r="R43" s="1" t="str">
        <f t="shared" si="25"/>
        <v/>
      </c>
      <c r="S43" s="1" t="str">
        <f t="shared" si="26"/>
        <v/>
      </c>
      <c r="T43" s="1" t="str">
        <f t="shared" si="27"/>
        <v/>
      </c>
      <c r="U43" s="1" t="str">
        <f t="shared" si="28"/>
        <v/>
      </c>
      <c r="V43" s="1" t="str">
        <f t="shared" si="29"/>
        <v/>
      </c>
      <c r="W43" s="1" t="str">
        <f t="shared" si="30"/>
        <v/>
      </c>
      <c r="X43" s="1" t="str">
        <f t="shared" si="31"/>
        <v/>
      </c>
      <c r="Y43" s="1" t="str">
        <f t="shared" si="32"/>
        <v/>
      </c>
      <c r="Z43" s="1" t="str">
        <f t="shared" si="33"/>
        <v/>
      </c>
      <c r="AA43" s="1" t="str">
        <f t="shared" si="34"/>
        <v/>
      </c>
      <c r="AB43" s="1" t="str">
        <f t="shared" si="35"/>
        <v/>
      </c>
      <c r="AC43" s="1" t="str">
        <f t="shared" si="36"/>
        <v/>
      </c>
      <c r="AD43" s="1" t="str">
        <f t="shared" si="37"/>
        <v/>
      </c>
    </row>
    <row r="44" spans="3:30">
      <c r="C44" s="1"/>
      <c r="D44" s="1" t="str">
        <f t="shared" si="38"/>
        <v/>
      </c>
      <c r="F44" s="1"/>
      <c r="G44" s="1" t="str">
        <f t="shared" si="21"/>
        <v/>
      </c>
      <c r="H44" s="7" t="str">
        <f t="shared" si="40"/>
        <v/>
      </c>
      <c r="I44"/>
      <c r="J44" s="1" t="str">
        <f t="shared" si="22"/>
        <v/>
      </c>
      <c r="K44" s="1" t="str">
        <f t="shared" si="41"/>
        <v/>
      </c>
      <c r="L44" s="1"/>
      <c r="M44" t="str">
        <f t="shared" si="23"/>
        <v/>
      </c>
      <c r="N44" s="1" t="str">
        <f t="shared" si="39"/>
        <v/>
      </c>
      <c r="Q44" s="1" t="str">
        <f t="shared" si="24"/>
        <v/>
      </c>
      <c r="R44" s="1" t="str">
        <f t="shared" si="25"/>
        <v/>
      </c>
      <c r="S44" s="1" t="str">
        <f t="shared" si="26"/>
        <v/>
      </c>
      <c r="T44" s="1" t="str">
        <f t="shared" si="27"/>
        <v/>
      </c>
      <c r="U44" s="1" t="str">
        <f t="shared" si="28"/>
        <v/>
      </c>
      <c r="V44" s="1" t="str">
        <f t="shared" si="29"/>
        <v/>
      </c>
      <c r="W44" s="1" t="str">
        <f t="shared" si="30"/>
        <v/>
      </c>
      <c r="X44" s="1" t="str">
        <f t="shared" si="31"/>
        <v/>
      </c>
      <c r="Y44" s="1" t="str">
        <f t="shared" si="32"/>
        <v/>
      </c>
      <c r="Z44" s="1" t="str">
        <f t="shared" si="33"/>
        <v/>
      </c>
      <c r="AA44" s="1" t="str">
        <f t="shared" si="34"/>
        <v/>
      </c>
      <c r="AB44" s="1" t="str">
        <f t="shared" si="35"/>
        <v/>
      </c>
      <c r="AC44" s="1" t="str">
        <f t="shared" si="36"/>
        <v/>
      </c>
      <c r="AD44" s="1" t="str">
        <f t="shared" si="37"/>
        <v/>
      </c>
    </row>
    <row r="45" spans="3:30">
      <c r="C45" s="1"/>
      <c r="D45" s="1" t="str">
        <f t="shared" si="38"/>
        <v/>
      </c>
      <c r="F45" s="1"/>
      <c r="G45" s="1" t="str">
        <f t="shared" si="21"/>
        <v/>
      </c>
      <c r="H45" s="7" t="str">
        <f t="shared" si="40"/>
        <v/>
      </c>
      <c r="I45"/>
      <c r="J45" s="1" t="str">
        <f t="shared" si="22"/>
        <v/>
      </c>
      <c r="K45" s="1" t="str">
        <f t="shared" si="41"/>
        <v/>
      </c>
      <c r="L45" s="1"/>
      <c r="M45" t="str">
        <f t="shared" si="23"/>
        <v/>
      </c>
      <c r="N45" s="1" t="str">
        <f t="shared" si="39"/>
        <v/>
      </c>
      <c r="Q45" s="1" t="str">
        <f t="shared" si="24"/>
        <v/>
      </c>
      <c r="R45" s="1" t="str">
        <f t="shared" si="25"/>
        <v/>
      </c>
      <c r="S45" s="1" t="str">
        <f t="shared" si="26"/>
        <v/>
      </c>
      <c r="T45" s="1" t="str">
        <f t="shared" si="27"/>
        <v/>
      </c>
      <c r="U45" s="1" t="str">
        <f t="shared" si="28"/>
        <v/>
      </c>
      <c r="V45" s="1" t="str">
        <f t="shared" si="29"/>
        <v/>
      </c>
      <c r="W45" s="1" t="str">
        <f t="shared" si="30"/>
        <v/>
      </c>
      <c r="X45" s="1" t="str">
        <f t="shared" si="31"/>
        <v/>
      </c>
      <c r="Y45" s="1" t="str">
        <f t="shared" si="32"/>
        <v/>
      </c>
      <c r="Z45" s="1" t="str">
        <f t="shared" si="33"/>
        <v/>
      </c>
      <c r="AA45" s="1" t="str">
        <f t="shared" si="34"/>
        <v/>
      </c>
      <c r="AB45" s="1" t="str">
        <f t="shared" si="35"/>
        <v/>
      </c>
      <c r="AC45" s="1" t="str">
        <f t="shared" si="36"/>
        <v/>
      </c>
      <c r="AD45" s="1" t="str">
        <f t="shared" si="37"/>
        <v/>
      </c>
    </row>
    <row r="46" spans="3:30">
      <c r="C46" s="1"/>
      <c r="D46" s="1" t="str">
        <f t="shared" si="38"/>
        <v/>
      </c>
      <c r="F46" s="1"/>
      <c r="G46" s="1" t="str">
        <f t="shared" si="21"/>
        <v/>
      </c>
      <c r="H46" s="7" t="str">
        <f t="shared" si="40"/>
        <v/>
      </c>
      <c r="I46"/>
      <c r="J46" s="1" t="str">
        <f t="shared" si="22"/>
        <v/>
      </c>
      <c r="K46" s="1" t="str">
        <f t="shared" si="41"/>
        <v/>
      </c>
      <c r="L46" s="1"/>
      <c r="M46" t="str">
        <f t="shared" si="23"/>
        <v/>
      </c>
      <c r="N46" s="1" t="str">
        <f t="shared" si="39"/>
        <v/>
      </c>
      <c r="Q46" s="1" t="str">
        <f t="shared" si="24"/>
        <v/>
      </c>
      <c r="R46" s="1" t="str">
        <f t="shared" si="25"/>
        <v/>
      </c>
      <c r="S46" s="1" t="str">
        <f t="shared" si="26"/>
        <v/>
      </c>
      <c r="T46" s="1" t="str">
        <f t="shared" si="27"/>
        <v/>
      </c>
      <c r="U46" s="1" t="str">
        <f t="shared" si="28"/>
        <v/>
      </c>
      <c r="V46" s="1" t="str">
        <f t="shared" si="29"/>
        <v/>
      </c>
      <c r="W46" s="1" t="str">
        <f t="shared" si="30"/>
        <v/>
      </c>
      <c r="X46" s="1" t="str">
        <f t="shared" si="31"/>
        <v/>
      </c>
      <c r="Y46" s="1" t="str">
        <f t="shared" si="32"/>
        <v/>
      </c>
      <c r="Z46" s="1" t="str">
        <f t="shared" si="33"/>
        <v/>
      </c>
      <c r="AA46" s="1" t="str">
        <f t="shared" si="34"/>
        <v/>
      </c>
      <c r="AB46" s="1" t="str">
        <f t="shared" si="35"/>
        <v/>
      </c>
      <c r="AC46" s="1" t="str">
        <f t="shared" si="36"/>
        <v/>
      </c>
      <c r="AD46" s="1" t="str">
        <f t="shared" si="37"/>
        <v/>
      </c>
    </row>
    <row r="47" spans="3:30">
      <c r="C47" s="1"/>
      <c r="D47" s="1" t="str">
        <f t="shared" si="38"/>
        <v/>
      </c>
      <c r="F47" s="1"/>
      <c r="G47" s="1" t="str">
        <f t="shared" si="21"/>
        <v/>
      </c>
      <c r="H47" s="7" t="str">
        <f t="shared" si="40"/>
        <v/>
      </c>
      <c r="I47"/>
      <c r="J47" s="1" t="str">
        <f t="shared" si="22"/>
        <v/>
      </c>
      <c r="K47" s="1" t="str">
        <f t="shared" si="41"/>
        <v/>
      </c>
      <c r="L47" s="1"/>
      <c r="M47" t="str">
        <f t="shared" si="23"/>
        <v/>
      </c>
      <c r="N47" s="1" t="str">
        <f t="shared" si="39"/>
        <v/>
      </c>
      <c r="Q47" s="1" t="str">
        <f t="shared" si="24"/>
        <v/>
      </c>
      <c r="R47" s="1" t="str">
        <f t="shared" si="25"/>
        <v/>
      </c>
      <c r="S47" s="1" t="str">
        <f t="shared" si="26"/>
        <v/>
      </c>
      <c r="T47" s="1" t="str">
        <f t="shared" si="27"/>
        <v/>
      </c>
      <c r="U47" s="1" t="str">
        <f t="shared" si="28"/>
        <v/>
      </c>
      <c r="V47" s="1" t="str">
        <f t="shared" si="29"/>
        <v/>
      </c>
      <c r="W47" s="1" t="str">
        <f t="shared" si="30"/>
        <v/>
      </c>
      <c r="X47" s="1" t="str">
        <f t="shared" si="31"/>
        <v/>
      </c>
      <c r="Y47" s="1" t="str">
        <f t="shared" si="32"/>
        <v/>
      </c>
      <c r="Z47" s="1" t="str">
        <f t="shared" si="33"/>
        <v/>
      </c>
      <c r="AA47" s="1" t="str">
        <f t="shared" si="34"/>
        <v/>
      </c>
      <c r="AB47" s="1" t="str">
        <f t="shared" si="35"/>
        <v/>
      </c>
      <c r="AC47" s="1" t="str">
        <f t="shared" si="36"/>
        <v/>
      </c>
      <c r="AD47" s="1" t="str">
        <f t="shared" si="37"/>
        <v/>
      </c>
    </row>
    <row r="48" spans="3:30">
      <c r="C48" s="1"/>
      <c r="D48" s="1" t="str">
        <f t="shared" si="38"/>
        <v/>
      </c>
      <c r="F48" s="1"/>
      <c r="G48" s="1" t="str">
        <f t="shared" si="21"/>
        <v/>
      </c>
      <c r="H48" s="7" t="str">
        <f t="shared" si="40"/>
        <v/>
      </c>
      <c r="I48"/>
      <c r="J48" s="1" t="str">
        <f t="shared" si="22"/>
        <v/>
      </c>
      <c r="K48" s="1" t="str">
        <f t="shared" si="41"/>
        <v/>
      </c>
      <c r="L48" s="1"/>
      <c r="M48" t="str">
        <f t="shared" si="23"/>
        <v/>
      </c>
      <c r="N48" s="1" t="str">
        <f t="shared" si="39"/>
        <v/>
      </c>
      <c r="Q48" s="1" t="str">
        <f t="shared" si="24"/>
        <v/>
      </c>
      <c r="R48" s="1" t="str">
        <f t="shared" si="25"/>
        <v/>
      </c>
      <c r="S48" s="1" t="str">
        <f t="shared" si="26"/>
        <v/>
      </c>
      <c r="T48" s="1" t="str">
        <f t="shared" si="27"/>
        <v/>
      </c>
      <c r="U48" s="1" t="str">
        <f t="shared" si="28"/>
        <v/>
      </c>
      <c r="V48" s="1" t="str">
        <f t="shared" si="29"/>
        <v/>
      </c>
      <c r="W48" s="1" t="str">
        <f t="shared" si="30"/>
        <v/>
      </c>
      <c r="X48" s="1" t="str">
        <f t="shared" si="31"/>
        <v/>
      </c>
      <c r="Y48" s="1" t="str">
        <f t="shared" si="32"/>
        <v/>
      </c>
      <c r="Z48" s="1" t="str">
        <f t="shared" si="33"/>
        <v/>
      </c>
      <c r="AA48" s="1" t="str">
        <f t="shared" si="34"/>
        <v/>
      </c>
      <c r="AB48" s="1" t="str">
        <f t="shared" si="35"/>
        <v/>
      </c>
      <c r="AC48" s="1" t="str">
        <f t="shared" si="36"/>
        <v/>
      </c>
      <c r="AD48" s="1" t="str">
        <f t="shared" si="37"/>
        <v/>
      </c>
    </row>
    <row r="49" spans="3:30">
      <c r="C49" s="1"/>
      <c r="D49" s="1" t="str">
        <f t="shared" si="38"/>
        <v/>
      </c>
      <c r="F49" s="1"/>
      <c r="G49" s="1" t="str">
        <f t="shared" si="21"/>
        <v/>
      </c>
      <c r="H49" s="7" t="str">
        <f t="shared" si="40"/>
        <v/>
      </c>
      <c r="I49"/>
      <c r="J49" s="1" t="str">
        <f t="shared" si="22"/>
        <v/>
      </c>
      <c r="K49" s="1" t="str">
        <f t="shared" si="41"/>
        <v/>
      </c>
      <c r="L49" s="1"/>
      <c r="M49" t="str">
        <f t="shared" si="23"/>
        <v/>
      </c>
      <c r="N49" s="1" t="str">
        <f t="shared" si="39"/>
        <v/>
      </c>
      <c r="Q49" s="1" t="str">
        <f t="shared" si="24"/>
        <v/>
      </c>
      <c r="R49" s="1" t="str">
        <f t="shared" si="25"/>
        <v/>
      </c>
      <c r="S49" s="1" t="str">
        <f t="shared" si="26"/>
        <v/>
      </c>
      <c r="T49" s="1" t="str">
        <f t="shared" si="27"/>
        <v/>
      </c>
      <c r="U49" s="1" t="str">
        <f t="shared" si="28"/>
        <v/>
      </c>
      <c r="V49" s="1" t="str">
        <f t="shared" si="29"/>
        <v/>
      </c>
      <c r="W49" s="1" t="str">
        <f t="shared" si="30"/>
        <v/>
      </c>
      <c r="X49" s="1" t="str">
        <f t="shared" si="31"/>
        <v/>
      </c>
      <c r="Y49" s="1" t="str">
        <f t="shared" si="32"/>
        <v/>
      </c>
      <c r="Z49" s="1" t="str">
        <f t="shared" si="33"/>
        <v/>
      </c>
      <c r="AA49" s="1" t="str">
        <f t="shared" si="34"/>
        <v/>
      </c>
      <c r="AB49" s="1" t="str">
        <f t="shared" si="35"/>
        <v/>
      </c>
      <c r="AC49" s="1" t="str">
        <f t="shared" si="36"/>
        <v/>
      </c>
      <c r="AD49" s="1" t="str">
        <f t="shared" si="37"/>
        <v/>
      </c>
    </row>
    <row r="50" spans="3:30">
      <c r="C50" s="1"/>
      <c r="D50" s="1" t="str">
        <f t="shared" si="38"/>
        <v/>
      </c>
      <c r="F50" s="1"/>
      <c r="G50" s="1" t="str">
        <f t="shared" si="21"/>
        <v/>
      </c>
      <c r="H50" s="7" t="str">
        <f t="shared" si="40"/>
        <v/>
      </c>
      <c r="I50"/>
      <c r="J50" s="1" t="str">
        <f t="shared" si="22"/>
        <v/>
      </c>
      <c r="K50" s="1" t="str">
        <f t="shared" si="41"/>
        <v/>
      </c>
      <c r="L50" s="1"/>
      <c r="M50" t="str">
        <f t="shared" si="23"/>
        <v/>
      </c>
      <c r="N50" s="1" t="str">
        <f t="shared" si="39"/>
        <v/>
      </c>
      <c r="Q50" s="1" t="str">
        <f t="shared" si="24"/>
        <v/>
      </c>
      <c r="R50" s="1" t="str">
        <f t="shared" si="25"/>
        <v/>
      </c>
      <c r="S50" s="1" t="str">
        <f t="shared" si="26"/>
        <v/>
      </c>
      <c r="T50" s="1" t="str">
        <f t="shared" si="27"/>
        <v/>
      </c>
      <c r="U50" s="1" t="str">
        <f t="shared" si="28"/>
        <v/>
      </c>
      <c r="V50" s="1" t="str">
        <f t="shared" si="29"/>
        <v/>
      </c>
      <c r="W50" s="1" t="str">
        <f t="shared" si="30"/>
        <v/>
      </c>
      <c r="X50" s="1" t="str">
        <f t="shared" si="31"/>
        <v/>
      </c>
      <c r="Y50" s="1" t="str">
        <f t="shared" si="32"/>
        <v/>
      </c>
      <c r="Z50" s="1" t="str">
        <f t="shared" si="33"/>
        <v/>
      </c>
      <c r="AA50" s="1" t="str">
        <f t="shared" si="34"/>
        <v/>
      </c>
      <c r="AB50" s="1" t="str">
        <f t="shared" si="35"/>
        <v/>
      </c>
      <c r="AC50" s="1" t="str">
        <f t="shared" si="36"/>
        <v/>
      </c>
      <c r="AD50" s="1" t="str">
        <f t="shared" si="37"/>
        <v/>
      </c>
    </row>
    <row r="51" spans="3:30">
      <c r="C51" s="1"/>
      <c r="D51" s="1" t="str">
        <f t="shared" si="38"/>
        <v/>
      </c>
      <c r="F51" s="1"/>
      <c r="G51" s="1" t="str">
        <f t="shared" si="21"/>
        <v/>
      </c>
      <c r="H51" s="7" t="str">
        <f t="shared" si="40"/>
        <v/>
      </c>
      <c r="I51"/>
      <c r="J51" s="1" t="str">
        <f t="shared" si="22"/>
        <v/>
      </c>
      <c r="K51" s="1" t="str">
        <f t="shared" si="41"/>
        <v/>
      </c>
      <c r="L51" s="1"/>
      <c r="M51" t="str">
        <f t="shared" si="23"/>
        <v/>
      </c>
      <c r="N51" s="1" t="str">
        <f t="shared" si="39"/>
        <v/>
      </c>
      <c r="Q51" s="1" t="str">
        <f t="shared" si="24"/>
        <v/>
      </c>
      <c r="R51" s="1" t="str">
        <f t="shared" si="25"/>
        <v/>
      </c>
      <c r="S51" s="1" t="str">
        <f t="shared" si="26"/>
        <v/>
      </c>
      <c r="T51" s="1" t="str">
        <f t="shared" si="27"/>
        <v/>
      </c>
      <c r="U51" s="1" t="str">
        <f t="shared" si="28"/>
        <v/>
      </c>
      <c r="V51" s="1" t="str">
        <f t="shared" si="29"/>
        <v/>
      </c>
      <c r="W51" s="1" t="str">
        <f t="shared" si="30"/>
        <v/>
      </c>
      <c r="X51" s="1" t="str">
        <f t="shared" si="31"/>
        <v/>
      </c>
      <c r="Y51" s="1" t="str">
        <f t="shared" si="32"/>
        <v/>
      </c>
      <c r="Z51" s="1" t="str">
        <f t="shared" si="33"/>
        <v/>
      </c>
      <c r="AA51" s="1" t="str">
        <f t="shared" si="34"/>
        <v/>
      </c>
      <c r="AB51" s="1" t="str">
        <f t="shared" si="35"/>
        <v/>
      </c>
      <c r="AC51" s="1" t="str">
        <f t="shared" si="36"/>
        <v/>
      </c>
      <c r="AD51" s="1" t="str">
        <f t="shared" si="37"/>
        <v/>
      </c>
    </row>
    <row r="52" spans="3:30">
      <c r="C52" s="1"/>
      <c r="D52" s="1" t="str">
        <f t="shared" si="38"/>
        <v/>
      </c>
      <c r="F52" s="1"/>
      <c r="G52" s="1" t="str">
        <f t="shared" si="21"/>
        <v/>
      </c>
      <c r="H52" s="7" t="str">
        <f t="shared" si="40"/>
        <v/>
      </c>
      <c r="I52"/>
      <c r="J52" s="1" t="str">
        <f t="shared" si="22"/>
        <v/>
      </c>
      <c r="K52" s="1" t="str">
        <f t="shared" si="41"/>
        <v/>
      </c>
      <c r="L52" s="1"/>
      <c r="M52" t="str">
        <f t="shared" si="23"/>
        <v/>
      </c>
      <c r="N52" s="1" t="str">
        <f t="shared" si="39"/>
        <v/>
      </c>
      <c r="Q52" s="1" t="str">
        <f t="shared" si="24"/>
        <v/>
      </c>
      <c r="R52" s="1" t="str">
        <f t="shared" si="25"/>
        <v/>
      </c>
      <c r="S52" s="1" t="str">
        <f t="shared" si="26"/>
        <v/>
      </c>
      <c r="T52" s="1" t="str">
        <f t="shared" si="27"/>
        <v/>
      </c>
      <c r="U52" s="1" t="str">
        <f t="shared" si="28"/>
        <v/>
      </c>
      <c r="V52" s="1" t="str">
        <f t="shared" si="29"/>
        <v/>
      </c>
      <c r="W52" s="1" t="str">
        <f t="shared" si="30"/>
        <v/>
      </c>
      <c r="X52" s="1" t="str">
        <f t="shared" si="31"/>
        <v/>
      </c>
      <c r="Y52" s="1" t="str">
        <f t="shared" si="32"/>
        <v/>
      </c>
      <c r="Z52" s="1" t="str">
        <f t="shared" si="33"/>
        <v/>
      </c>
      <c r="AA52" s="1" t="str">
        <f t="shared" si="34"/>
        <v/>
      </c>
      <c r="AB52" s="1" t="str">
        <f t="shared" si="35"/>
        <v/>
      </c>
      <c r="AC52" s="1" t="str">
        <f t="shared" si="36"/>
        <v/>
      </c>
      <c r="AD52" s="1" t="str">
        <f t="shared" si="37"/>
        <v/>
      </c>
    </row>
    <row r="53" spans="3:30">
      <c r="C53" s="1"/>
      <c r="D53" s="1" t="str">
        <f t="shared" si="38"/>
        <v/>
      </c>
      <c r="F53" s="1"/>
      <c r="G53" s="1" t="str">
        <f t="shared" si="21"/>
        <v/>
      </c>
      <c r="H53" s="7" t="str">
        <f t="shared" si="40"/>
        <v/>
      </c>
      <c r="I53"/>
      <c r="J53" s="1" t="str">
        <f t="shared" si="22"/>
        <v/>
      </c>
      <c r="K53" s="1" t="str">
        <f t="shared" si="41"/>
        <v/>
      </c>
      <c r="L53" s="1"/>
      <c r="M53" t="str">
        <f t="shared" si="23"/>
        <v/>
      </c>
      <c r="N53" s="1" t="str">
        <f t="shared" si="39"/>
        <v/>
      </c>
      <c r="Q53" s="1" t="str">
        <f t="shared" si="24"/>
        <v/>
      </c>
      <c r="R53" s="1" t="str">
        <f t="shared" si="25"/>
        <v/>
      </c>
      <c r="S53" s="1" t="str">
        <f t="shared" si="26"/>
        <v/>
      </c>
      <c r="T53" s="1" t="str">
        <f t="shared" si="27"/>
        <v/>
      </c>
      <c r="U53" s="1" t="str">
        <f t="shared" si="28"/>
        <v/>
      </c>
      <c r="V53" s="1" t="str">
        <f t="shared" si="29"/>
        <v/>
      </c>
      <c r="W53" s="1" t="str">
        <f t="shared" si="30"/>
        <v/>
      </c>
      <c r="X53" s="1" t="str">
        <f t="shared" si="31"/>
        <v/>
      </c>
      <c r="Y53" s="1" t="str">
        <f t="shared" si="32"/>
        <v/>
      </c>
      <c r="Z53" s="1" t="str">
        <f t="shared" si="33"/>
        <v/>
      </c>
      <c r="AA53" s="1" t="str">
        <f t="shared" si="34"/>
        <v/>
      </c>
      <c r="AB53" s="1" t="str">
        <f t="shared" si="35"/>
        <v/>
      </c>
      <c r="AC53" s="1" t="str">
        <f t="shared" si="36"/>
        <v/>
      </c>
      <c r="AD53" s="1" t="str">
        <f t="shared" si="37"/>
        <v/>
      </c>
    </row>
    <row r="54" spans="3:30">
      <c r="C54" s="1"/>
      <c r="D54" s="1" t="str">
        <f t="shared" si="38"/>
        <v/>
      </c>
      <c r="F54" s="1"/>
      <c r="G54" s="1" t="str">
        <f t="shared" si="21"/>
        <v/>
      </c>
      <c r="H54" s="7" t="str">
        <f t="shared" si="40"/>
        <v/>
      </c>
      <c r="I54"/>
      <c r="J54" s="1" t="str">
        <f t="shared" si="22"/>
        <v/>
      </c>
      <c r="K54" s="1" t="str">
        <f t="shared" si="41"/>
        <v/>
      </c>
      <c r="L54" s="1"/>
      <c r="M54" t="str">
        <f t="shared" si="23"/>
        <v/>
      </c>
      <c r="N54" s="1" t="str">
        <f t="shared" si="39"/>
        <v/>
      </c>
      <c r="Q54" s="1" t="str">
        <f t="shared" si="24"/>
        <v/>
      </c>
      <c r="R54" s="1" t="str">
        <f t="shared" si="25"/>
        <v/>
      </c>
      <c r="S54" s="1" t="str">
        <f t="shared" si="26"/>
        <v/>
      </c>
      <c r="T54" s="1" t="str">
        <f t="shared" si="27"/>
        <v/>
      </c>
      <c r="U54" s="1" t="str">
        <f t="shared" si="28"/>
        <v/>
      </c>
      <c r="V54" s="1" t="str">
        <f t="shared" si="29"/>
        <v/>
      </c>
      <c r="W54" s="1" t="str">
        <f t="shared" si="30"/>
        <v/>
      </c>
      <c r="X54" s="1" t="str">
        <f t="shared" si="31"/>
        <v/>
      </c>
      <c r="Y54" s="1" t="str">
        <f t="shared" si="32"/>
        <v/>
      </c>
      <c r="Z54" s="1" t="str">
        <f t="shared" si="33"/>
        <v/>
      </c>
      <c r="AA54" s="1" t="str">
        <f t="shared" si="34"/>
        <v/>
      </c>
      <c r="AB54" s="1" t="str">
        <f t="shared" si="35"/>
        <v/>
      </c>
      <c r="AC54" s="1" t="str">
        <f t="shared" si="36"/>
        <v/>
      </c>
      <c r="AD54" s="1" t="str">
        <f t="shared" si="37"/>
        <v/>
      </c>
    </row>
    <row r="55" spans="3:30">
      <c r="C55" s="1"/>
      <c r="D55" s="1" t="str">
        <f t="shared" si="38"/>
        <v/>
      </c>
      <c r="F55" s="1"/>
      <c r="G55" s="1" t="str">
        <f t="shared" si="21"/>
        <v/>
      </c>
      <c r="H55" s="7" t="str">
        <f t="shared" si="40"/>
        <v/>
      </c>
      <c r="I55"/>
      <c r="J55" s="1" t="str">
        <f t="shared" si="22"/>
        <v/>
      </c>
      <c r="K55" s="1" t="str">
        <f t="shared" si="41"/>
        <v/>
      </c>
      <c r="L55" s="1"/>
      <c r="M55" t="str">
        <f t="shared" si="23"/>
        <v/>
      </c>
      <c r="N55" s="1" t="str">
        <f t="shared" si="39"/>
        <v/>
      </c>
      <c r="Q55" s="1" t="str">
        <f t="shared" si="24"/>
        <v/>
      </c>
      <c r="R55" s="1" t="str">
        <f t="shared" si="25"/>
        <v/>
      </c>
      <c r="S55" s="1" t="str">
        <f t="shared" si="26"/>
        <v/>
      </c>
      <c r="T55" s="1" t="str">
        <f t="shared" si="27"/>
        <v/>
      </c>
      <c r="U55" s="1" t="str">
        <f t="shared" si="28"/>
        <v/>
      </c>
      <c r="V55" s="1" t="str">
        <f t="shared" si="29"/>
        <v/>
      </c>
      <c r="W55" s="1" t="str">
        <f t="shared" si="30"/>
        <v/>
      </c>
      <c r="X55" s="1" t="str">
        <f t="shared" si="31"/>
        <v/>
      </c>
      <c r="Y55" s="1" t="str">
        <f t="shared" si="32"/>
        <v/>
      </c>
      <c r="Z55" s="1" t="str">
        <f t="shared" si="33"/>
        <v/>
      </c>
      <c r="AA55" s="1" t="str">
        <f t="shared" si="34"/>
        <v/>
      </c>
      <c r="AB55" s="1" t="str">
        <f t="shared" si="35"/>
        <v/>
      </c>
      <c r="AC55" s="1" t="str">
        <f t="shared" si="36"/>
        <v/>
      </c>
      <c r="AD55" s="1" t="str">
        <f t="shared" si="37"/>
        <v/>
      </c>
    </row>
    <row r="56" spans="3:30">
      <c r="C56" s="1"/>
      <c r="D56" s="1" t="str">
        <f t="shared" si="38"/>
        <v/>
      </c>
      <c r="F56" s="1"/>
      <c r="G56" s="1" t="str">
        <f t="shared" si="21"/>
        <v/>
      </c>
      <c r="H56" s="7" t="str">
        <f t="shared" si="40"/>
        <v/>
      </c>
      <c r="I56"/>
      <c r="J56" s="1" t="str">
        <f t="shared" si="22"/>
        <v/>
      </c>
      <c r="K56" s="1" t="str">
        <f t="shared" si="41"/>
        <v/>
      </c>
      <c r="L56" s="1"/>
      <c r="M56" t="str">
        <f t="shared" si="23"/>
        <v/>
      </c>
      <c r="N56" s="1" t="str">
        <f t="shared" si="39"/>
        <v/>
      </c>
      <c r="Q56" s="1" t="str">
        <f t="shared" si="24"/>
        <v/>
      </c>
      <c r="R56" s="1" t="str">
        <f t="shared" si="25"/>
        <v/>
      </c>
      <c r="S56" s="1" t="str">
        <f t="shared" si="26"/>
        <v/>
      </c>
      <c r="T56" s="1" t="str">
        <f t="shared" si="27"/>
        <v/>
      </c>
      <c r="U56" s="1" t="str">
        <f t="shared" si="28"/>
        <v/>
      </c>
      <c r="V56" s="1" t="str">
        <f t="shared" si="29"/>
        <v/>
      </c>
      <c r="W56" s="1" t="str">
        <f t="shared" si="30"/>
        <v/>
      </c>
      <c r="X56" s="1" t="str">
        <f t="shared" si="31"/>
        <v/>
      </c>
      <c r="Y56" s="1" t="str">
        <f t="shared" si="32"/>
        <v/>
      </c>
      <c r="Z56" s="1" t="str">
        <f t="shared" si="33"/>
        <v/>
      </c>
      <c r="AA56" s="1" t="str">
        <f t="shared" si="34"/>
        <v/>
      </c>
      <c r="AB56" s="1" t="str">
        <f t="shared" si="35"/>
        <v/>
      </c>
      <c r="AC56" s="1" t="str">
        <f t="shared" si="36"/>
        <v/>
      </c>
      <c r="AD56" s="1" t="str">
        <f t="shared" si="37"/>
        <v/>
      </c>
    </row>
    <row r="57" spans="3:30">
      <c r="C57" s="1"/>
      <c r="D57" s="1" t="str">
        <f t="shared" si="38"/>
        <v/>
      </c>
      <c r="F57" s="1"/>
      <c r="G57" s="1" t="str">
        <f t="shared" si="21"/>
        <v/>
      </c>
      <c r="H57" s="7" t="str">
        <f t="shared" si="40"/>
        <v/>
      </c>
      <c r="I57"/>
      <c r="J57" s="1" t="str">
        <f t="shared" si="22"/>
        <v/>
      </c>
      <c r="K57" s="1" t="str">
        <f t="shared" si="41"/>
        <v/>
      </c>
      <c r="L57" s="1"/>
      <c r="M57" t="str">
        <f t="shared" si="23"/>
        <v/>
      </c>
      <c r="N57" s="1" t="str">
        <f t="shared" si="39"/>
        <v/>
      </c>
      <c r="Q57" s="1" t="str">
        <f t="shared" si="24"/>
        <v/>
      </c>
      <c r="R57" s="1" t="str">
        <f t="shared" si="25"/>
        <v/>
      </c>
      <c r="S57" s="1" t="str">
        <f t="shared" si="26"/>
        <v/>
      </c>
      <c r="T57" s="1" t="str">
        <f t="shared" si="27"/>
        <v/>
      </c>
      <c r="U57" s="1" t="str">
        <f t="shared" si="28"/>
        <v/>
      </c>
      <c r="V57" s="1" t="str">
        <f t="shared" si="29"/>
        <v/>
      </c>
      <c r="W57" s="1" t="str">
        <f t="shared" si="30"/>
        <v/>
      </c>
      <c r="X57" s="1" t="str">
        <f t="shared" si="31"/>
        <v/>
      </c>
      <c r="Y57" s="1" t="str">
        <f t="shared" si="32"/>
        <v/>
      </c>
      <c r="Z57" s="1" t="str">
        <f t="shared" si="33"/>
        <v/>
      </c>
      <c r="AA57" s="1" t="str">
        <f t="shared" si="34"/>
        <v/>
      </c>
      <c r="AB57" s="1" t="str">
        <f t="shared" si="35"/>
        <v/>
      </c>
      <c r="AC57" s="1" t="str">
        <f t="shared" si="36"/>
        <v/>
      </c>
      <c r="AD57" s="1" t="str">
        <f t="shared" si="37"/>
        <v/>
      </c>
    </row>
    <row r="58" spans="3:30">
      <c r="C58" s="1"/>
      <c r="D58" s="1" t="str">
        <f t="shared" si="38"/>
        <v/>
      </c>
      <c r="F58" s="1"/>
      <c r="G58" s="1" t="str">
        <f t="shared" si="21"/>
        <v/>
      </c>
      <c r="H58" s="7" t="str">
        <f t="shared" si="40"/>
        <v/>
      </c>
      <c r="I58"/>
      <c r="J58" s="1" t="str">
        <f t="shared" si="22"/>
        <v/>
      </c>
      <c r="K58" s="1" t="str">
        <f t="shared" si="41"/>
        <v/>
      </c>
      <c r="L58" s="1"/>
      <c r="M58" t="str">
        <f t="shared" si="23"/>
        <v/>
      </c>
      <c r="N58" s="1" t="str">
        <f t="shared" si="39"/>
        <v/>
      </c>
      <c r="Q58" s="1" t="str">
        <f t="shared" si="24"/>
        <v/>
      </c>
      <c r="R58" s="1" t="str">
        <f t="shared" si="25"/>
        <v/>
      </c>
      <c r="S58" s="1" t="str">
        <f t="shared" si="26"/>
        <v/>
      </c>
      <c r="T58" s="1" t="str">
        <f t="shared" si="27"/>
        <v/>
      </c>
      <c r="U58" s="1" t="str">
        <f t="shared" si="28"/>
        <v/>
      </c>
      <c r="V58" s="1" t="str">
        <f t="shared" si="29"/>
        <v/>
      </c>
      <c r="W58" s="1" t="str">
        <f t="shared" si="30"/>
        <v/>
      </c>
      <c r="X58" s="1" t="str">
        <f t="shared" si="31"/>
        <v/>
      </c>
      <c r="Y58" s="1" t="str">
        <f t="shared" si="32"/>
        <v/>
      </c>
      <c r="Z58" s="1" t="str">
        <f t="shared" si="33"/>
        <v/>
      </c>
      <c r="AA58" s="1" t="str">
        <f t="shared" si="34"/>
        <v/>
      </c>
      <c r="AB58" s="1" t="str">
        <f t="shared" si="35"/>
        <v/>
      </c>
      <c r="AC58" s="1" t="str">
        <f t="shared" si="36"/>
        <v/>
      </c>
      <c r="AD58" s="1" t="str">
        <f t="shared" si="37"/>
        <v/>
      </c>
    </row>
    <row r="59" spans="3:30">
      <c r="C59" s="1"/>
      <c r="D59" s="1" t="str">
        <f t="shared" si="38"/>
        <v/>
      </c>
      <c r="F59" s="1"/>
      <c r="G59" s="1" t="str">
        <f t="shared" si="21"/>
        <v/>
      </c>
      <c r="H59" s="7" t="str">
        <f t="shared" si="40"/>
        <v/>
      </c>
      <c r="I59"/>
      <c r="J59" s="1" t="str">
        <f t="shared" si="22"/>
        <v/>
      </c>
      <c r="K59" s="1" t="str">
        <f t="shared" si="41"/>
        <v/>
      </c>
      <c r="L59" s="1"/>
      <c r="M59" t="str">
        <f t="shared" si="23"/>
        <v/>
      </c>
      <c r="N59" s="1" t="str">
        <f t="shared" si="39"/>
        <v/>
      </c>
      <c r="Q59" s="1" t="str">
        <f t="shared" si="24"/>
        <v/>
      </c>
      <c r="R59" s="1" t="str">
        <f t="shared" si="25"/>
        <v/>
      </c>
      <c r="S59" s="1" t="str">
        <f t="shared" si="26"/>
        <v/>
      </c>
      <c r="T59" s="1" t="str">
        <f t="shared" si="27"/>
        <v/>
      </c>
      <c r="U59" s="1" t="str">
        <f t="shared" si="28"/>
        <v/>
      </c>
      <c r="V59" s="1" t="str">
        <f t="shared" si="29"/>
        <v/>
      </c>
      <c r="W59" s="1" t="str">
        <f t="shared" si="30"/>
        <v/>
      </c>
      <c r="X59" s="1" t="str">
        <f t="shared" si="31"/>
        <v/>
      </c>
      <c r="Y59" s="1" t="str">
        <f t="shared" si="32"/>
        <v/>
      </c>
      <c r="Z59" s="1" t="str">
        <f t="shared" si="33"/>
        <v/>
      </c>
      <c r="AA59" s="1" t="str">
        <f t="shared" si="34"/>
        <v/>
      </c>
      <c r="AB59" s="1" t="str">
        <f t="shared" si="35"/>
        <v/>
      </c>
      <c r="AC59" s="1" t="str">
        <f t="shared" si="36"/>
        <v/>
      </c>
      <c r="AD59" s="1" t="str">
        <f t="shared" si="37"/>
        <v/>
      </c>
    </row>
    <row r="60" spans="3:30">
      <c r="C60" s="1"/>
      <c r="D60" s="1" t="str">
        <f t="shared" si="38"/>
        <v/>
      </c>
      <c r="F60" s="1"/>
      <c r="G60" s="1" t="str">
        <f t="shared" si="21"/>
        <v/>
      </c>
      <c r="H60" s="7" t="str">
        <f t="shared" si="40"/>
        <v/>
      </c>
      <c r="I60"/>
      <c r="J60" s="1" t="str">
        <f t="shared" si="22"/>
        <v/>
      </c>
      <c r="K60" s="1" t="str">
        <f t="shared" si="41"/>
        <v/>
      </c>
      <c r="L60" s="1"/>
      <c r="M60" t="str">
        <f t="shared" si="23"/>
        <v/>
      </c>
      <c r="N60" s="1" t="str">
        <f t="shared" si="39"/>
        <v/>
      </c>
      <c r="Q60" s="1" t="str">
        <f t="shared" si="24"/>
        <v/>
      </c>
      <c r="R60" s="1" t="str">
        <f t="shared" si="25"/>
        <v/>
      </c>
      <c r="S60" s="1" t="str">
        <f t="shared" si="26"/>
        <v/>
      </c>
      <c r="T60" s="1" t="str">
        <f t="shared" si="27"/>
        <v/>
      </c>
      <c r="U60" s="1" t="str">
        <f t="shared" si="28"/>
        <v/>
      </c>
      <c r="V60" s="1" t="str">
        <f t="shared" si="29"/>
        <v/>
      </c>
      <c r="W60" s="1" t="str">
        <f t="shared" si="30"/>
        <v/>
      </c>
      <c r="X60" s="1" t="str">
        <f t="shared" si="31"/>
        <v/>
      </c>
      <c r="Y60" s="1" t="str">
        <f t="shared" si="32"/>
        <v/>
      </c>
      <c r="Z60" s="1" t="str">
        <f t="shared" si="33"/>
        <v/>
      </c>
      <c r="AA60" s="1" t="str">
        <f t="shared" si="34"/>
        <v/>
      </c>
      <c r="AB60" s="1" t="str">
        <f t="shared" si="35"/>
        <v/>
      </c>
      <c r="AC60" s="1" t="str">
        <f t="shared" si="36"/>
        <v/>
      </c>
      <c r="AD60" s="1" t="str">
        <f t="shared" si="37"/>
        <v/>
      </c>
    </row>
    <row r="61" spans="3:30">
      <c r="C61" s="1"/>
      <c r="D61" s="1" t="str">
        <f t="shared" si="38"/>
        <v/>
      </c>
      <c r="F61" s="1"/>
      <c r="G61" s="1" t="str">
        <f t="shared" si="21"/>
        <v/>
      </c>
      <c r="H61" s="7" t="str">
        <f t="shared" si="40"/>
        <v/>
      </c>
      <c r="I61"/>
      <c r="J61" s="1" t="str">
        <f t="shared" si="22"/>
        <v/>
      </c>
      <c r="K61" s="1" t="str">
        <f t="shared" si="41"/>
        <v/>
      </c>
      <c r="L61" s="1"/>
      <c r="M61" t="str">
        <f t="shared" si="23"/>
        <v/>
      </c>
      <c r="N61" s="1" t="str">
        <f t="shared" si="39"/>
        <v/>
      </c>
      <c r="Q61" s="1" t="str">
        <f t="shared" si="24"/>
        <v/>
      </c>
      <c r="R61" s="1" t="str">
        <f t="shared" si="25"/>
        <v/>
      </c>
      <c r="S61" s="1" t="str">
        <f t="shared" si="26"/>
        <v/>
      </c>
      <c r="T61" s="1" t="str">
        <f t="shared" si="27"/>
        <v/>
      </c>
      <c r="U61" s="1" t="str">
        <f t="shared" si="28"/>
        <v/>
      </c>
      <c r="V61" s="1" t="str">
        <f t="shared" si="29"/>
        <v/>
      </c>
      <c r="W61" s="1" t="str">
        <f t="shared" si="30"/>
        <v/>
      </c>
      <c r="X61" s="1" t="str">
        <f t="shared" si="31"/>
        <v/>
      </c>
      <c r="Y61" s="1" t="str">
        <f t="shared" si="32"/>
        <v/>
      </c>
      <c r="Z61" s="1" t="str">
        <f t="shared" si="33"/>
        <v/>
      </c>
      <c r="AA61" s="1" t="str">
        <f t="shared" si="34"/>
        <v/>
      </c>
      <c r="AB61" s="1" t="str">
        <f t="shared" si="35"/>
        <v/>
      </c>
      <c r="AC61" s="1" t="str">
        <f t="shared" si="36"/>
        <v/>
      </c>
      <c r="AD61" s="1" t="str">
        <f t="shared" si="37"/>
        <v/>
      </c>
    </row>
    <row r="62" spans="3:30">
      <c r="C62" s="1"/>
      <c r="D62" s="1" t="str">
        <f t="shared" si="38"/>
        <v/>
      </c>
      <c r="F62" s="1"/>
      <c r="G62" s="1" t="str">
        <f t="shared" si="21"/>
        <v/>
      </c>
      <c r="H62" s="7" t="str">
        <f t="shared" si="40"/>
        <v/>
      </c>
      <c r="I62"/>
      <c r="J62" s="1" t="str">
        <f t="shared" si="22"/>
        <v/>
      </c>
      <c r="K62" s="1" t="str">
        <f t="shared" si="41"/>
        <v/>
      </c>
      <c r="L62" s="1"/>
      <c r="M62" t="str">
        <f t="shared" si="23"/>
        <v/>
      </c>
      <c r="N62" s="1" t="str">
        <f t="shared" si="39"/>
        <v/>
      </c>
      <c r="Q62" s="1" t="str">
        <f t="shared" si="24"/>
        <v/>
      </c>
      <c r="R62" s="1" t="str">
        <f t="shared" si="25"/>
        <v/>
      </c>
      <c r="S62" s="1" t="str">
        <f t="shared" si="26"/>
        <v/>
      </c>
      <c r="T62" s="1" t="str">
        <f t="shared" si="27"/>
        <v/>
      </c>
      <c r="U62" s="1" t="str">
        <f t="shared" si="28"/>
        <v/>
      </c>
      <c r="V62" s="1" t="str">
        <f t="shared" si="29"/>
        <v/>
      </c>
      <c r="W62" s="1" t="str">
        <f t="shared" si="30"/>
        <v/>
      </c>
      <c r="X62" s="1" t="str">
        <f t="shared" si="31"/>
        <v/>
      </c>
      <c r="Y62" s="1" t="str">
        <f t="shared" si="32"/>
        <v/>
      </c>
      <c r="Z62" s="1" t="str">
        <f t="shared" si="33"/>
        <v/>
      </c>
      <c r="AA62" s="1" t="str">
        <f t="shared" si="34"/>
        <v/>
      </c>
      <c r="AB62" s="1" t="str">
        <f t="shared" si="35"/>
        <v/>
      </c>
      <c r="AC62" s="1" t="str">
        <f t="shared" si="36"/>
        <v/>
      </c>
      <c r="AD62" s="1" t="str">
        <f t="shared" si="37"/>
        <v/>
      </c>
    </row>
    <row r="63" spans="3:30">
      <c r="C63" s="1"/>
      <c r="D63" s="1" t="str">
        <f t="shared" si="38"/>
        <v/>
      </c>
      <c r="F63" s="1"/>
      <c r="G63" s="1" t="str">
        <f t="shared" si="21"/>
        <v/>
      </c>
      <c r="H63" s="7" t="str">
        <f t="shared" si="40"/>
        <v/>
      </c>
      <c r="I63"/>
      <c r="J63" s="1" t="str">
        <f t="shared" si="22"/>
        <v/>
      </c>
      <c r="K63" s="1" t="str">
        <f t="shared" si="41"/>
        <v/>
      </c>
      <c r="L63" s="1"/>
      <c r="M63" t="str">
        <f t="shared" si="23"/>
        <v/>
      </c>
      <c r="N63" s="1" t="str">
        <f t="shared" si="39"/>
        <v/>
      </c>
      <c r="Q63" s="1" t="str">
        <f t="shared" si="24"/>
        <v/>
      </c>
      <c r="R63" s="1" t="str">
        <f t="shared" si="25"/>
        <v/>
      </c>
      <c r="S63" s="1" t="str">
        <f t="shared" si="26"/>
        <v/>
      </c>
      <c r="T63" s="1" t="str">
        <f t="shared" si="27"/>
        <v/>
      </c>
      <c r="U63" s="1" t="str">
        <f t="shared" si="28"/>
        <v/>
      </c>
      <c r="V63" s="1" t="str">
        <f t="shared" si="29"/>
        <v/>
      </c>
      <c r="W63" s="1" t="str">
        <f t="shared" si="30"/>
        <v/>
      </c>
      <c r="X63" s="1" t="str">
        <f t="shared" si="31"/>
        <v/>
      </c>
      <c r="Y63" s="1" t="str">
        <f t="shared" si="32"/>
        <v/>
      </c>
      <c r="Z63" s="1" t="str">
        <f t="shared" si="33"/>
        <v/>
      </c>
      <c r="AA63" s="1" t="str">
        <f t="shared" si="34"/>
        <v/>
      </c>
      <c r="AB63" s="1" t="str">
        <f t="shared" si="35"/>
        <v/>
      </c>
      <c r="AC63" s="1" t="str">
        <f t="shared" si="36"/>
        <v/>
      </c>
      <c r="AD63" s="1" t="str">
        <f t="shared" si="37"/>
        <v/>
      </c>
    </row>
    <row r="64" spans="3:30">
      <c r="C64" s="1"/>
      <c r="D64" s="1" t="str">
        <f t="shared" si="38"/>
        <v/>
      </c>
      <c r="F64" s="1"/>
      <c r="G64" s="1" t="str">
        <f t="shared" si="21"/>
        <v/>
      </c>
      <c r="H64" s="7" t="str">
        <f t="shared" si="40"/>
        <v/>
      </c>
      <c r="I64"/>
      <c r="J64" s="1" t="str">
        <f t="shared" si="22"/>
        <v/>
      </c>
      <c r="K64" s="1" t="str">
        <f t="shared" si="41"/>
        <v/>
      </c>
      <c r="L64" s="1"/>
      <c r="M64" t="str">
        <f t="shared" si="23"/>
        <v/>
      </c>
      <c r="N64" s="1" t="str">
        <f t="shared" si="39"/>
        <v/>
      </c>
      <c r="Q64" s="1" t="str">
        <f t="shared" si="24"/>
        <v/>
      </c>
      <c r="R64" s="1" t="str">
        <f t="shared" si="25"/>
        <v/>
      </c>
      <c r="S64" s="1" t="str">
        <f t="shared" si="26"/>
        <v/>
      </c>
      <c r="T64" s="1" t="str">
        <f t="shared" si="27"/>
        <v/>
      </c>
      <c r="U64" s="1" t="str">
        <f t="shared" si="28"/>
        <v/>
      </c>
      <c r="V64" s="1" t="str">
        <f t="shared" si="29"/>
        <v/>
      </c>
      <c r="W64" s="1" t="str">
        <f t="shared" si="30"/>
        <v/>
      </c>
      <c r="X64" s="1" t="str">
        <f t="shared" si="31"/>
        <v/>
      </c>
      <c r="Y64" s="1" t="str">
        <f t="shared" si="32"/>
        <v/>
      </c>
      <c r="Z64" s="1" t="str">
        <f t="shared" si="33"/>
        <v/>
      </c>
      <c r="AA64" s="1" t="str">
        <f t="shared" si="34"/>
        <v/>
      </c>
      <c r="AB64" s="1" t="str">
        <f t="shared" si="35"/>
        <v/>
      </c>
      <c r="AC64" s="1" t="str">
        <f t="shared" si="36"/>
        <v/>
      </c>
      <c r="AD64" s="1" t="str">
        <f t="shared" si="37"/>
        <v/>
      </c>
    </row>
    <row r="65" spans="3:30">
      <c r="C65" s="1"/>
      <c r="D65" s="1" t="str">
        <f t="shared" si="38"/>
        <v/>
      </c>
      <c r="F65" s="1"/>
      <c r="G65" s="1" t="str">
        <f t="shared" si="21"/>
        <v/>
      </c>
      <c r="H65" s="7" t="str">
        <f t="shared" si="40"/>
        <v/>
      </c>
      <c r="I65"/>
      <c r="J65" s="1" t="str">
        <f t="shared" si="22"/>
        <v/>
      </c>
      <c r="K65" s="1" t="str">
        <f t="shared" si="41"/>
        <v/>
      </c>
      <c r="L65" s="1"/>
      <c r="M65" t="str">
        <f t="shared" si="23"/>
        <v/>
      </c>
      <c r="N65" s="1" t="str">
        <f t="shared" si="39"/>
        <v/>
      </c>
      <c r="Q65" s="1" t="str">
        <f t="shared" si="24"/>
        <v/>
      </c>
      <c r="R65" s="1" t="str">
        <f t="shared" si="25"/>
        <v/>
      </c>
      <c r="S65" s="1" t="str">
        <f t="shared" si="26"/>
        <v/>
      </c>
      <c r="T65" s="1" t="str">
        <f t="shared" si="27"/>
        <v/>
      </c>
      <c r="U65" s="1" t="str">
        <f t="shared" si="28"/>
        <v/>
      </c>
      <c r="V65" s="1" t="str">
        <f t="shared" si="29"/>
        <v/>
      </c>
      <c r="W65" s="1" t="str">
        <f t="shared" si="30"/>
        <v/>
      </c>
      <c r="X65" s="1" t="str">
        <f t="shared" si="31"/>
        <v/>
      </c>
      <c r="Y65" s="1" t="str">
        <f t="shared" si="32"/>
        <v/>
      </c>
      <c r="Z65" s="1" t="str">
        <f t="shared" si="33"/>
        <v/>
      </c>
      <c r="AA65" s="1" t="str">
        <f t="shared" si="34"/>
        <v/>
      </c>
      <c r="AB65" s="1" t="str">
        <f t="shared" si="35"/>
        <v/>
      </c>
      <c r="AC65" s="1" t="str">
        <f t="shared" si="36"/>
        <v/>
      </c>
      <c r="AD65" s="1" t="str">
        <f t="shared" si="37"/>
        <v/>
      </c>
    </row>
    <row r="66" spans="3:30">
      <c r="C66" s="1"/>
      <c r="D66" s="1" t="str">
        <f t="shared" si="38"/>
        <v/>
      </c>
      <c r="F66" s="1"/>
      <c r="G66" s="1" t="str">
        <f t="shared" si="21"/>
        <v/>
      </c>
      <c r="H66" s="7" t="str">
        <f t="shared" si="40"/>
        <v/>
      </c>
      <c r="I66"/>
      <c r="J66" s="1" t="str">
        <f t="shared" si="22"/>
        <v/>
      </c>
      <c r="K66" s="1" t="str">
        <f t="shared" si="41"/>
        <v/>
      </c>
      <c r="L66" s="1"/>
      <c r="M66" t="str">
        <f t="shared" si="23"/>
        <v/>
      </c>
      <c r="N66" s="1" t="str">
        <f t="shared" si="39"/>
        <v/>
      </c>
      <c r="Q66" s="1" t="str">
        <f t="shared" si="24"/>
        <v/>
      </c>
      <c r="R66" s="1" t="str">
        <f t="shared" si="25"/>
        <v/>
      </c>
      <c r="S66" s="1" t="str">
        <f t="shared" si="26"/>
        <v/>
      </c>
      <c r="T66" s="1" t="str">
        <f t="shared" si="27"/>
        <v/>
      </c>
      <c r="U66" s="1" t="str">
        <f t="shared" si="28"/>
        <v/>
      </c>
      <c r="V66" s="1" t="str">
        <f t="shared" si="29"/>
        <v/>
      </c>
      <c r="W66" s="1" t="str">
        <f t="shared" si="30"/>
        <v/>
      </c>
      <c r="X66" s="1" t="str">
        <f t="shared" si="31"/>
        <v/>
      </c>
      <c r="Y66" s="1" t="str">
        <f t="shared" si="32"/>
        <v/>
      </c>
      <c r="Z66" s="1" t="str">
        <f t="shared" si="33"/>
        <v/>
      </c>
      <c r="AA66" s="1" t="str">
        <f t="shared" si="34"/>
        <v/>
      </c>
      <c r="AB66" s="1" t="str">
        <f t="shared" si="35"/>
        <v/>
      </c>
      <c r="AC66" s="1" t="str">
        <f t="shared" si="36"/>
        <v/>
      </c>
      <c r="AD66" s="1" t="str">
        <f t="shared" si="37"/>
        <v/>
      </c>
    </row>
    <row r="67" spans="3:30">
      <c r="C67" s="1"/>
      <c r="D67" s="1" t="str">
        <f t="shared" si="38"/>
        <v/>
      </c>
      <c r="F67" s="1"/>
      <c r="G67" s="1" t="str">
        <f t="shared" si="21"/>
        <v/>
      </c>
      <c r="H67" s="7" t="str">
        <f t="shared" si="40"/>
        <v/>
      </c>
      <c r="I67"/>
      <c r="J67" s="1" t="str">
        <f t="shared" si="22"/>
        <v/>
      </c>
      <c r="K67" s="1" t="str">
        <f t="shared" si="41"/>
        <v/>
      </c>
      <c r="L67" s="1"/>
      <c r="M67" t="str">
        <f t="shared" si="23"/>
        <v/>
      </c>
      <c r="N67" s="1" t="str">
        <f t="shared" si="39"/>
        <v/>
      </c>
      <c r="Q67" s="1" t="str">
        <f t="shared" si="24"/>
        <v/>
      </c>
      <c r="R67" s="1" t="str">
        <f t="shared" si="25"/>
        <v/>
      </c>
      <c r="S67" s="1" t="str">
        <f t="shared" si="26"/>
        <v/>
      </c>
      <c r="T67" s="1" t="str">
        <f t="shared" si="27"/>
        <v/>
      </c>
      <c r="U67" s="1" t="str">
        <f t="shared" si="28"/>
        <v/>
      </c>
      <c r="V67" s="1" t="str">
        <f t="shared" si="29"/>
        <v/>
      </c>
      <c r="W67" s="1" t="str">
        <f t="shared" si="30"/>
        <v/>
      </c>
      <c r="X67" s="1" t="str">
        <f t="shared" si="31"/>
        <v/>
      </c>
      <c r="Y67" s="1" t="str">
        <f t="shared" si="32"/>
        <v/>
      </c>
      <c r="Z67" s="1" t="str">
        <f t="shared" si="33"/>
        <v/>
      </c>
      <c r="AA67" s="1" t="str">
        <f t="shared" si="34"/>
        <v/>
      </c>
      <c r="AB67" s="1" t="str">
        <f t="shared" si="35"/>
        <v/>
      </c>
      <c r="AC67" s="1" t="str">
        <f t="shared" si="36"/>
        <v/>
      </c>
      <c r="AD67" s="1" t="str">
        <f t="shared" si="37"/>
        <v/>
      </c>
    </row>
    <row r="68" spans="3:30">
      <c r="C68" s="1"/>
      <c r="D68" s="1" t="str">
        <f t="shared" si="38"/>
        <v/>
      </c>
      <c r="F68" s="1"/>
      <c r="G68" s="1" t="str">
        <f t="shared" si="21"/>
        <v/>
      </c>
      <c r="H68" s="7" t="str">
        <f t="shared" si="40"/>
        <v/>
      </c>
      <c r="I68"/>
      <c r="J68" s="1" t="str">
        <f t="shared" si="22"/>
        <v/>
      </c>
      <c r="K68" s="1" t="str">
        <f t="shared" si="41"/>
        <v/>
      </c>
      <c r="L68" s="1"/>
      <c r="M68" t="str">
        <f t="shared" si="23"/>
        <v/>
      </c>
      <c r="N68" s="1" t="str">
        <f t="shared" si="39"/>
        <v/>
      </c>
      <c r="Q68" s="1" t="str">
        <f t="shared" si="24"/>
        <v/>
      </c>
      <c r="R68" s="1" t="str">
        <f t="shared" si="25"/>
        <v/>
      </c>
      <c r="S68" s="1" t="str">
        <f t="shared" si="26"/>
        <v/>
      </c>
      <c r="T68" s="1" t="str">
        <f t="shared" si="27"/>
        <v/>
      </c>
      <c r="U68" s="1" t="str">
        <f t="shared" si="28"/>
        <v/>
      </c>
      <c r="V68" s="1" t="str">
        <f t="shared" si="29"/>
        <v/>
      </c>
      <c r="W68" s="1" t="str">
        <f t="shared" si="30"/>
        <v/>
      </c>
      <c r="X68" s="1" t="str">
        <f t="shared" si="31"/>
        <v/>
      </c>
      <c r="Y68" s="1" t="str">
        <f t="shared" si="32"/>
        <v/>
      </c>
      <c r="Z68" s="1" t="str">
        <f t="shared" si="33"/>
        <v/>
      </c>
      <c r="AA68" s="1" t="str">
        <f t="shared" si="34"/>
        <v/>
      </c>
      <c r="AB68" s="1" t="str">
        <f t="shared" si="35"/>
        <v/>
      </c>
      <c r="AC68" s="1" t="str">
        <f t="shared" si="36"/>
        <v/>
      </c>
      <c r="AD68" s="1" t="str">
        <f t="shared" si="37"/>
        <v/>
      </c>
    </row>
    <row r="69" spans="3:30">
      <c r="C69" s="1"/>
      <c r="D69" s="1" t="str">
        <f t="shared" si="38"/>
        <v/>
      </c>
      <c r="F69" s="1"/>
      <c r="G69" s="1" t="str">
        <f t="shared" si="21"/>
        <v/>
      </c>
      <c r="H69" s="7" t="str">
        <f t="shared" si="40"/>
        <v/>
      </c>
      <c r="I69"/>
      <c r="J69" s="1" t="str">
        <f t="shared" si="22"/>
        <v/>
      </c>
      <c r="K69" s="1" t="str">
        <f t="shared" si="41"/>
        <v/>
      </c>
      <c r="L69" s="1"/>
      <c r="M69" t="str">
        <f t="shared" si="23"/>
        <v/>
      </c>
      <c r="N69" s="1" t="str">
        <f t="shared" si="39"/>
        <v/>
      </c>
      <c r="Q69" s="1" t="str">
        <f t="shared" si="24"/>
        <v/>
      </c>
      <c r="R69" s="1" t="str">
        <f t="shared" si="25"/>
        <v/>
      </c>
      <c r="S69" s="1" t="str">
        <f t="shared" si="26"/>
        <v/>
      </c>
      <c r="T69" s="1" t="str">
        <f t="shared" si="27"/>
        <v/>
      </c>
      <c r="U69" s="1" t="str">
        <f t="shared" si="28"/>
        <v/>
      </c>
      <c r="V69" s="1" t="str">
        <f t="shared" si="29"/>
        <v/>
      </c>
      <c r="W69" s="1" t="str">
        <f t="shared" si="30"/>
        <v/>
      </c>
      <c r="X69" s="1" t="str">
        <f t="shared" si="31"/>
        <v/>
      </c>
      <c r="Y69" s="1" t="str">
        <f t="shared" si="32"/>
        <v/>
      </c>
      <c r="Z69" s="1" t="str">
        <f t="shared" si="33"/>
        <v/>
      </c>
      <c r="AA69" s="1" t="str">
        <f t="shared" si="34"/>
        <v/>
      </c>
      <c r="AB69" s="1" t="str">
        <f t="shared" si="35"/>
        <v/>
      </c>
      <c r="AC69" s="1" t="str">
        <f t="shared" si="36"/>
        <v/>
      </c>
      <c r="AD69" s="1" t="str">
        <f t="shared" si="37"/>
        <v/>
      </c>
    </row>
    <row r="70" spans="3:30">
      <c r="C70" s="1"/>
      <c r="D70" s="1" t="str">
        <f t="shared" si="38"/>
        <v/>
      </c>
      <c r="F70" s="1"/>
      <c r="G70" s="1" t="str">
        <f t="shared" ref="G70:G101" si="42">IF($A70="","",1)</f>
        <v/>
      </c>
      <c r="H70" s="7" t="str">
        <f t="shared" si="40"/>
        <v/>
      </c>
      <c r="I70"/>
      <c r="J70" s="1" t="str">
        <f t="shared" ref="J70:J101" si="43">IF($A70="","",0)</f>
        <v/>
      </c>
      <c r="K70" s="1" t="str">
        <f t="shared" si="41"/>
        <v/>
      </c>
      <c r="L70" s="1"/>
      <c r="M70" t="str">
        <f t="shared" ref="M70:M101" si="44">IF(L70=1,1,IF(L70="","",0))</f>
        <v/>
      </c>
      <c r="N70" s="1" t="str">
        <f t="shared" si="39"/>
        <v/>
      </c>
      <c r="Q70" s="1" t="str">
        <f t="shared" ref="Q70:Q101" si="45">IF($A70="","",0)</f>
        <v/>
      </c>
      <c r="R70" s="1" t="str">
        <f t="shared" ref="R70:R101" si="46">IF($A70="","",-1)</f>
        <v/>
      </c>
      <c r="S70" s="1" t="str">
        <f t="shared" ref="S70:S101" si="47">IF($A70="","",-1)</f>
        <v/>
      </c>
      <c r="T70" s="1" t="str">
        <f t="shared" ref="T70:T101" si="48">IF($A70="","",1400)</f>
        <v/>
      </c>
      <c r="U70" s="1" t="str">
        <f t="shared" ref="U70:U101" si="49">IF($A70="","",0)</f>
        <v/>
      </c>
      <c r="V70" s="1" t="str">
        <f t="shared" ref="V70:V101" si="50">IF($A70="","",-1)</f>
        <v/>
      </c>
      <c r="W70" s="1" t="str">
        <f t="shared" ref="W70:W101" si="51">IF($A70="","",-1)</f>
        <v/>
      </c>
      <c r="X70" s="1" t="str">
        <f t="shared" ref="X70:X101" si="52">IF($A70="","",1)</f>
        <v/>
      </c>
      <c r="Y70" s="1" t="str">
        <f t="shared" ref="Y70:Y101" si="53">IF($A70="","",-1)</f>
        <v/>
      </c>
      <c r="Z70" s="1" t="str">
        <f t="shared" ref="Z70:Z101" si="54">IF($A70="","",-1)</f>
        <v/>
      </c>
      <c r="AA70" s="1" t="str">
        <f t="shared" ref="AA70:AA101" si="55">IF($A70="","",-1)</f>
        <v/>
      </c>
      <c r="AB70" s="1" t="str">
        <f t="shared" ref="AB70:AB101" si="56">IF($A70="","",-1)</f>
        <v/>
      </c>
      <c r="AC70" s="1" t="str">
        <f t="shared" ref="AC70:AC101" si="57">IF($A70="","",-1)</f>
        <v/>
      </c>
      <c r="AD70" s="1" t="str">
        <f t="shared" ref="AD70:AD101" si="58">IF($A70="","",1)</f>
        <v/>
      </c>
    </row>
    <row r="71" spans="3:30">
      <c r="C71" s="1"/>
      <c r="D71" s="1" t="str">
        <f t="shared" ref="D71:D102" si="59">IF($A71="","",-1)</f>
        <v/>
      </c>
      <c r="F71" s="1"/>
      <c r="G71" s="1" t="str">
        <f t="shared" si="42"/>
        <v/>
      </c>
      <c r="H71" s="7" t="str">
        <f t="shared" si="40"/>
        <v/>
      </c>
      <c r="I71"/>
      <c r="J71" s="1" t="str">
        <f t="shared" si="43"/>
        <v/>
      </c>
      <c r="K71" s="1" t="str">
        <f t="shared" si="41"/>
        <v/>
      </c>
      <c r="L71" s="1"/>
      <c r="M71" t="str">
        <f t="shared" si="44"/>
        <v/>
      </c>
      <c r="N71" s="1" t="str">
        <f t="shared" ref="N71:N102" si="60">IF(L71=1,0,IF(L71="","",1))</f>
        <v/>
      </c>
      <c r="Q71" s="1" t="str">
        <f t="shared" si="45"/>
        <v/>
      </c>
      <c r="R71" s="1" t="str">
        <f t="shared" si="46"/>
        <v/>
      </c>
      <c r="S71" s="1" t="str">
        <f t="shared" si="47"/>
        <v/>
      </c>
      <c r="T71" s="1" t="str">
        <f t="shared" si="48"/>
        <v/>
      </c>
      <c r="U71" s="1" t="str">
        <f t="shared" si="49"/>
        <v/>
      </c>
      <c r="V71" s="1" t="str">
        <f t="shared" si="50"/>
        <v/>
      </c>
      <c r="W71" s="1" t="str">
        <f t="shared" si="51"/>
        <v/>
      </c>
      <c r="X71" s="1" t="str">
        <f t="shared" si="52"/>
        <v/>
      </c>
      <c r="Y71" s="1" t="str">
        <f t="shared" si="53"/>
        <v/>
      </c>
      <c r="Z71" s="1" t="str">
        <f t="shared" si="54"/>
        <v/>
      </c>
      <c r="AA71" s="1" t="str">
        <f t="shared" si="55"/>
        <v/>
      </c>
      <c r="AB71" s="1" t="str">
        <f t="shared" si="56"/>
        <v/>
      </c>
      <c r="AC71" s="1" t="str">
        <f t="shared" si="57"/>
        <v/>
      </c>
      <c r="AD71" s="1" t="str">
        <f t="shared" si="58"/>
        <v/>
      </c>
    </row>
    <row r="72" spans="3:30">
      <c r="C72" s="1"/>
      <c r="D72" s="1" t="str">
        <f t="shared" si="59"/>
        <v/>
      </c>
      <c r="F72" s="1"/>
      <c r="G72" s="1" t="str">
        <f t="shared" si="42"/>
        <v/>
      </c>
      <c r="H72" s="7" t="str">
        <f t="shared" si="40"/>
        <v/>
      </c>
      <c r="I72"/>
      <c r="J72" s="1" t="str">
        <f t="shared" si="43"/>
        <v/>
      </c>
      <c r="K72" s="1" t="str">
        <f t="shared" si="41"/>
        <v/>
      </c>
      <c r="L72" s="1"/>
      <c r="M72" t="str">
        <f t="shared" si="44"/>
        <v/>
      </c>
      <c r="N72" s="1" t="str">
        <f t="shared" si="60"/>
        <v/>
      </c>
      <c r="Q72" s="1" t="str">
        <f t="shared" si="45"/>
        <v/>
      </c>
      <c r="R72" s="1" t="str">
        <f t="shared" si="46"/>
        <v/>
      </c>
      <c r="S72" s="1" t="str">
        <f t="shared" si="47"/>
        <v/>
      </c>
      <c r="T72" s="1" t="str">
        <f t="shared" si="48"/>
        <v/>
      </c>
      <c r="U72" s="1" t="str">
        <f t="shared" si="49"/>
        <v/>
      </c>
      <c r="V72" s="1" t="str">
        <f t="shared" si="50"/>
        <v/>
      </c>
      <c r="W72" s="1" t="str">
        <f t="shared" si="51"/>
        <v/>
      </c>
      <c r="X72" s="1" t="str">
        <f t="shared" si="52"/>
        <v/>
      </c>
      <c r="Y72" s="1" t="str">
        <f t="shared" si="53"/>
        <v/>
      </c>
      <c r="Z72" s="1" t="str">
        <f t="shared" si="54"/>
        <v/>
      </c>
      <c r="AA72" s="1" t="str">
        <f t="shared" si="55"/>
        <v/>
      </c>
      <c r="AB72" s="1" t="str">
        <f t="shared" si="56"/>
        <v/>
      </c>
      <c r="AC72" s="1" t="str">
        <f t="shared" si="57"/>
        <v/>
      </c>
      <c r="AD72" s="1" t="str">
        <f t="shared" si="58"/>
        <v/>
      </c>
    </row>
    <row r="73" spans="3:30">
      <c r="C73" s="1"/>
      <c r="D73" s="1" t="str">
        <f t="shared" si="59"/>
        <v/>
      </c>
      <c r="F73" s="1"/>
      <c r="G73" s="1" t="str">
        <f t="shared" si="42"/>
        <v/>
      </c>
      <c r="H73" s="7" t="str">
        <f t="shared" si="40"/>
        <v/>
      </c>
      <c r="I73"/>
      <c r="J73" s="1" t="str">
        <f t="shared" si="43"/>
        <v/>
      </c>
      <c r="K73" s="1" t="str">
        <f t="shared" si="41"/>
        <v/>
      </c>
      <c r="L73" s="1"/>
      <c r="M73" t="str">
        <f t="shared" si="44"/>
        <v/>
      </c>
      <c r="N73" s="1" t="str">
        <f t="shared" si="60"/>
        <v/>
      </c>
      <c r="Q73" s="1" t="str">
        <f t="shared" si="45"/>
        <v/>
      </c>
      <c r="R73" s="1" t="str">
        <f t="shared" si="46"/>
        <v/>
      </c>
      <c r="S73" s="1" t="str">
        <f t="shared" si="47"/>
        <v/>
      </c>
      <c r="T73" s="1" t="str">
        <f t="shared" si="48"/>
        <v/>
      </c>
      <c r="U73" s="1" t="str">
        <f t="shared" si="49"/>
        <v/>
      </c>
      <c r="V73" s="1" t="str">
        <f t="shared" si="50"/>
        <v/>
      </c>
      <c r="W73" s="1" t="str">
        <f t="shared" si="51"/>
        <v/>
      </c>
      <c r="X73" s="1" t="str">
        <f t="shared" si="52"/>
        <v/>
      </c>
      <c r="Y73" s="1" t="str">
        <f t="shared" si="53"/>
        <v/>
      </c>
      <c r="Z73" s="1" t="str">
        <f t="shared" si="54"/>
        <v/>
      </c>
      <c r="AA73" s="1" t="str">
        <f t="shared" si="55"/>
        <v/>
      </c>
      <c r="AB73" s="1" t="str">
        <f t="shared" si="56"/>
        <v/>
      </c>
      <c r="AC73" s="1" t="str">
        <f t="shared" si="57"/>
        <v/>
      </c>
      <c r="AD73" s="1" t="str">
        <f t="shared" si="58"/>
        <v/>
      </c>
    </row>
    <row r="74" spans="3:30">
      <c r="C74" s="1"/>
      <c r="D74" s="1" t="str">
        <f t="shared" si="59"/>
        <v/>
      </c>
      <c r="F74" s="1"/>
      <c r="G74" s="1" t="str">
        <f t="shared" si="42"/>
        <v/>
      </c>
      <c r="H74" s="7" t="str">
        <f t="shared" si="40"/>
        <v/>
      </c>
      <c r="I74"/>
      <c r="J74" s="1" t="str">
        <f t="shared" si="43"/>
        <v/>
      </c>
      <c r="K74" s="1" t="str">
        <f t="shared" si="41"/>
        <v/>
      </c>
      <c r="L74" s="1"/>
      <c r="M74" t="str">
        <f t="shared" si="44"/>
        <v/>
      </c>
      <c r="N74" s="1" t="str">
        <f t="shared" si="60"/>
        <v/>
      </c>
      <c r="Q74" s="1" t="str">
        <f t="shared" si="45"/>
        <v/>
      </c>
      <c r="R74" s="1" t="str">
        <f t="shared" si="46"/>
        <v/>
      </c>
      <c r="S74" s="1" t="str">
        <f t="shared" si="47"/>
        <v/>
      </c>
      <c r="T74" s="1" t="str">
        <f t="shared" si="48"/>
        <v/>
      </c>
      <c r="U74" s="1" t="str">
        <f t="shared" si="49"/>
        <v/>
      </c>
      <c r="V74" s="1" t="str">
        <f t="shared" si="50"/>
        <v/>
      </c>
      <c r="W74" s="1" t="str">
        <f t="shared" si="51"/>
        <v/>
      </c>
      <c r="X74" s="1" t="str">
        <f t="shared" si="52"/>
        <v/>
      </c>
      <c r="Y74" s="1" t="str">
        <f t="shared" si="53"/>
        <v/>
      </c>
      <c r="Z74" s="1" t="str">
        <f t="shared" si="54"/>
        <v/>
      </c>
      <c r="AA74" s="1" t="str">
        <f t="shared" si="55"/>
        <v/>
      </c>
      <c r="AB74" s="1" t="str">
        <f t="shared" si="56"/>
        <v/>
      </c>
      <c r="AC74" s="1" t="str">
        <f t="shared" si="57"/>
        <v/>
      </c>
      <c r="AD74" s="1" t="str">
        <f t="shared" si="58"/>
        <v/>
      </c>
    </row>
    <row r="75" spans="3:30">
      <c r="C75" s="1"/>
      <c r="D75" s="1" t="str">
        <f t="shared" si="59"/>
        <v/>
      </c>
      <c r="F75" s="1"/>
      <c r="G75" s="1" t="str">
        <f t="shared" si="42"/>
        <v/>
      </c>
      <c r="H75" s="7" t="str">
        <f t="shared" ref="H75:H106" si="61">IF($A75="","",4)</f>
        <v/>
      </c>
      <c r="I75"/>
      <c r="J75" s="1" t="str">
        <f t="shared" si="43"/>
        <v/>
      </c>
      <c r="K75" s="1" t="str">
        <f t="shared" ref="K75:K106" si="62">IF($A75="","",0)</f>
        <v/>
      </c>
      <c r="L75" s="1"/>
      <c r="M75" t="str">
        <f t="shared" si="44"/>
        <v/>
      </c>
      <c r="N75" s="1" t="str">
        <f t="shared" si="60"/>
        <v/>
      </c>
      <c r="Q75" s="1" t="str">
        <f t="shared" si="45"/>
        <v/>
      </c>
      <c r="R75" s="1" t="str">
        <f t="shared" si="46"/>
        <v/>
      </c>
      <c r="S75" s="1" t="str">
        <f t="shared" si="47"/>
        <v/>
      </c>
      <c r="T75" s="1" t="str">
        <f t="shared" si="48"/>
        <v/>
      </c>
      <c r="U75" s="1" t="str">
        <f t="shared" si="49"/>
        <v/>
      </c>
      <c r="V75" s="1" t="str">
        <f t="shared" si="50"/>
        <v/>
      </c>
      <c r="W75" s="1" t="str">
        <f t="shared" si="51"/>
        <v/>
      </c>
      <c r="X75" s="1" t="str">
        <f t="shared" si="52"/>
        <v/>
      </c>
      <c r="Y75" s="1" t="str">
        <f t="shared" si="53"/>
        <v/>
      </c>
      <c r="Z75" s="1" t="str">
        <f t="shared" si="54"/>
        <v/>
      </c>
      <c r="AA75" s="1" t="str">
        <f t="shared" si="55"/>
        <v/>
      </c>
      <c r="AB75" s="1" t="str">
        <f t="shared" si="56"/>
        <v/>
      </c>
      <c r="AC75" s="1" t="str">
        <f t="shared" si="57"/>
        <v/>
      </c>
      <c r="AD75" s="1" t="str">
        <f t="shared" si="58"/>
        <v/>
      </c>
    </row>
    <row r="76" spans="3:30">
      <c r="C76" s="1"/>
      <c r="D76" s="1" t="str">
        <f t="shared" si="59"/>
        <v/>
      </c>
      <c r="F76" s="1"/>
      <c r="G76" s="1" t="str">
        <f t="shared" si="42"/>
        <v/>
      </c>
      <c r="H76" s="7" t="str">
        <f t="shared" si="61"/>
        <v/>
      </c>
      <c r="I76"/>
      <c r="J76" s="1" t="str">
        <f t="shared" si="43"/>
        <v/>
      </c>
      <c r="K76" s="1" t="str">
        <f t="shared" si="62"/>
        <v/>
      </c>
      <c r="L76" s="1"/>
      <c r="M76" t="str">
        <f t="shared" si="44"/>
        <v/>
      </c>
      <c r="N76" s="1" t="str">
        <f t="shared" si="60"/>
        <v/>
      </c>
      <c r="Q76" s="1" t="str">
        <f t="shared" si="45"/>
        <v/>
      </c>
      <c r="R76" s="1" t="str">
        <f t="shared" si="46"/>
        <v/>
      </c>
      <c r="S76" s="1" t="str">
        <f t="shared" si="47"/>
        <v/>
      </c>
      <c r="T76" s="1" t="str">
        <f t="shared" si="48"/>
        <v/>
      </c>
      <c r="U76" s="1" t="str">
        <f t="shared" si="49"/>
        <v/>
      </c>
      <c r="V76" s="1" t="str">
        <f t="shared" si="50"/>
        <v/>
      </c>
      <c r="W76" s="1" t="str">
        <f t="shared" si="51"/>
        <v/>
      </c>
      <c r="X76" s="1" t="str">
        <f t="shared" si="52"/>
        <v/>
      </c>
      <c r="Y76" s="1" t="str">
        <f t="shared" si="53"/>
        <v/>
      </c>
      <c r="Z76" s="1" t="str">
        <f t="shared" si="54"/>
        <v/>
      </c>
      <c r="AA76" s="1" t="str">
        <f t="shared" si="55"/>
        <v/>
      </c>
      <c r="AB76" s="1" t="str">
        <f t="shared" si="56"/>
        <v/>
      </c>
      <c r="AC76" s="1" t="str">
        <f t="shared" si="57"/>
        <v/>
      </c>
      <c r="AD76" s="1" t="str">
        <f t="shared" si="58"/>
        <v/>
      </c>
    </row>
    <row r="77" spans="3:30">
      <c r="C77" s="1"/>
      <c r="D77" s="1" t="str">
        <f t="shared" si="59"/>
        <v/>
      </c>
      <c r="F77" s="1"/>
      <c r="G77" s="1" t="str">
        <f t="shared" si="42"/>
        <v/>
      </c>
      <c r="H77" s="7" t="str">
        <f t="shared" si="61"/>
        <v/>
      </c>
      <c r="I77"/>
      <c r="J77" s="1" t="str">
        <f t="shared" si="43"/>
        <v/>
      </c>
      <c r="K77" s="1" t="str">
        <f t="shared" si="62"/>
        <v/>
      </c>
      <c r="L77" s="1"/>
      <c r="M77" t="str">
        <f t="shared" si="44"/>
        <v/>
      </c>
      <c r="N77" s="1" t="str">
        <f t="shared" si="60"/>
        <v/>
      </c>
      <c r="Q77" s="1" t="str">
        <f t="shared" si="45"/>
        <v/>
      </c>
      <c r="R77" s="1" t="str">
        <f t="shared" si="46"/>
        <v/>
      </c>
      <c r="S77" s="1" t="str">
        <f t="shared" si="47"/>
        <v/>
      </c>
      <c r="T77" s="1" t="str">
        <f t="shared" si="48"/>
        <v/>
      </c>
      <c r="U77" s="1" t="str">
        <f t="shared" si="49"/>
        <v/>
      </c>
      <c r="V77" s="1" t="str">
        <f t="shared" si="50"/>
        <v/>
      </c>
      <c r="W77" s="1" t="str">
        <f t="shared" si="51"/>
        <v/>
      </c>
      <c r="X77" s="1" t="str">
        <f t="shared" si="52"/>
        <v/>
      </c>
      <c r="Y77" s="1" t="str">
        <f t="shared" si="53"/>
        <v/>
      </c>
      <c r="Z77" s="1" t="str">
        <f t="shared" si="54"/>
        <v/>
      </c>
      <c r="AA77" s="1" t="str">
        <f t="shared" si="55"/>
        <v/>
      </c>
      <c r="AB77" s="1" t="str">
        <f t="shared" si="56"/>
        <v/>
      </c>
      <c r="AC77" s="1" t="str">
        <f t="shared" si="57"/>
        <v/>
      </c>
      <c r="AD77" s="1" t="str">
        <f t="shared" si="58"/>
        <v/>
      </c>
    </row>
    <row r="78" spans="3:30">
      <c r="C78" s="1"/>
      <c r="D78" s="1" t="str">
        <f t="shared" si="59"/>
        <v/>
      </c>
      <c r="F78" s="1"/>
      <c r="G78" s="1" t="str">
        <f t="shared" si="42"/>
        <v/>
      </c>
      <c r="H78" s="7" t="str">
        <f t="shared" si="61"/>
        <v/>
      </c>
      <c r="I78"/>
      <c r="J78" s="1" t="str">
        <f t="shared" si="43"/>
        <v/>
      </c>
      <c r="K78" s="1" t="str">
        <f t="shared" si="62"/>
        <v/>
      </c>
      <c r="L78" s="1"/>
      <c r="M78" t="str">
        <f t="shared" si="44"/>
        <v/>
      </c>
      <c r="N78" s="1" t="str">
        <f t="shared" si="60"/>
        <v/>
      </c>
      <c r="Q78" s="1" t="str">
        <f t="shared" si="45"/>
        <v/>
      </c>
      <c r="R78" s="1" t="str">
        <f t="shared" si="46"/>
        <v/>
      </c>
      <c r="S78" s="1" t="str">
        <f t="shared" si="47"/>
        <v/>
      </c>
      <c r="T78" s="1" t="str">
        <f t="shared" si="48"/>
        <v/>
      </c>
      <c r="U78" s="1" t="str">
        <f t="shared" si="49"/>
        <v/>
      </c>
      <c r="V78" s="1" t="str">
        <f t="shared" si="50"/>
        <v/>
      </c>
      <c r="W78" s="1" t="str">
        <f t="shared" si="51"/>
        <v/>
      </c>
      <c r="X78" s="1" t="str">
        <f t="shared" si="52"/>
        <v/>
      </c>
      <c r="Y78" s="1" t="str">
        <f t="shared" si="53"/>
        <v/>
      </c>
      <c r="Z78" s="1" t="str">
        <f t="shared" si="54"/>
        <v/>
      </c>
      <c r="AA78" s="1" t="str">
        <f t="shared" si="55"/>
        <v/>
      </c>
      <c r="AB78" s="1" t="str">
        <f t="shared" si="56"/>
        <v/>
      </c>
      <c r="AC78" s="1" t="str">
        <f t="shared" si="57"/>
        <v/>
      </c>
      <c r="AD78" s="1" t="str">
        <f t="shared" si="58"/>
        <v/>
      </c>
    </row>
    <row r="79" spans="3:30">
      <c r="C79" s="1"/>
      <c r="D79" s="1" t="str">
        <f t="shared" si="59"/>
        <v/>
      </c>
      <c r="F79" s="1"/>
      <c r="G79" s="1" t="str">
        <f t="shared" si="42"/>
        <v/>
      </c>
      <c r="H79" s="7" t="str">
        <f t="shared" si="61"/>
        <v/>
      </c>
      <c r="I79"/>
      <c r="J79" s="1" t="str">
        <f t="shared" si="43"/>
        <v/>
      </c>
      <c r="K79" s="1" t="str">
        <f t="shared" si="62"/>
        <v/>
      </c>
      <c r="L79" s="1"/>
      <c r="M79" t="str">
        <f t="shared" si="44"/>
        <v/>
      </c>
      <c r="N79" s="1" t="str">
        <f t="shared" si="60"/>
        <v/>
      </c>
      <c r="Q79" s="1" t="str">
        <f t="shared" si="45"/>
        <v/>
      </c>
      <c r="R79" s="1" t="str">
        <f t="shared" si="46"/>
        <v/>
      </c>
      <c r="S79" s="1" t="str">
        <f t="shared" si="47"/>
        <v/>
      </c>
      <c r="T79" s="1" t="str">
        <f t="shared" si="48"/>
        <v/>
      </c>
      <c r="U79" s="1" t="str">
        <f t="shared" si="49"/>
        <v/>
      </c>
      <c r="V79" s="1" t="str">
        <f t="shared" si="50"/>
        <v/>
      </c>
      <c r="W79" s="1" t="str">
        <f t="shared" si="51"/>
        <v/>
      </c>
      <c r="X79" s="1" t="str">
        <f t="shared" si="52"/>
        <v/>
      </c>
      <c r="Y79" s="1" t="str">
        <f t="shared" si="53"/>
        <v/>
      </c>
      <c r="Z79" s="1" t="str">
        <f t="shared" si="54"/>
        <v/>
      </c>
      <c r="AA79" s="1" t="str">
        <f t="shared" si="55"/>
        <v/>
      </c>
      <c r="AB79" s="1" t="str">
        <f t="shared" si="56"/>
        <v/>
      </c>
      <c r="AC79" s="1" t="str">
        <f t="shared" si="57"/>
        <v/>
      </c>
      <c r="AD79" s="1" t="str">
        <f t="shared" si="58"/>
        <v/>
      </c>
    </row>
    <row r="80" spans="3:30">
      <c r="C80" s="1"/>
      <c r="D80" s="1" t="str">
        <f t="shared" si="59"/>
        <v/>
      </c>
      <c r="F80" s="1"/>
      <c r="G80" s="1" t="str">
        <f t="shared" si="42"/>
        <v/>
      </c>
      <c r="H80" s="7" t="str">
        <f t="shared" si="61"/>
        <v/>
      </c>
      <c r="I80"/>
      <c r="J80" s="1" t="str">
        <f t="shared" si="43"/>
        <v/>
      </c>
      <c r="K80" s="1" t="str">
        <f t="shared" si="62"/>
        <v/>
      </c>
      <c r="L80" s="1"/>
      <c r="M80" t="str">
        <f t="shared" si="44"/>
        <v/>
      </c>
      <c r="N80" s="1" t="str">
        <f t="shared" si="60"/>
        <v/>
      </c>
      <c r="Q80" s="1" t="str">
        <f t="shared" si="45"/>
        <v/>
      </c>
      <c r="R80" s="1" t="str">
        <f t="shared" si="46"/>
        <v/>
      </c>
      <c r="S80" s="1" t="str">
        <f t="shared" si="47"/>
        <v/>
      </c>
      <c r="T80" s="1" t="str">
        <f t="shared" si="48"/>
        <v/>
      </c>
      <c r="U80" s="1" t="str">
        <f t="shared" si="49"/>
        <v/>
      </c>
      <c r="V80" s="1" t="str">
        <f t="shared" si="50"/>
        <v/>
      </c>
      <c r="W80" s="1" t="str">
        <f t="shared" si="51"/>
        <v/>
      </c>
      <c r="X80" s="1" t="str">
        <f t="shared" si="52"/>
        <v/>
      </c>
      <c r="Y80" s="1" t="str">
        <f t="shared" si="53"/>
        <v/>
      </c>
      <c r="Z80" s="1" t="str">
        <f t="shared" si="54"/>
        <v/>
      </c>
      <c r="AA80" s="1" t="str">
        <f t="shared" si="55"/>
        <v/>
      </c>
      <c r="AB80" s="1" t="str">
        <f t="shared" si="56"/>
        <v/>
      </c>
      <c r="AC80" s="1" t="str">
        <f t="shared" si="57"/>
        <v/>
      </c>
      <c r="AD80" s="1" t="str">
        <f t="shared" si="58"/>
        <v/>
      </c>
    </row>
    <row r="81" spans="3:30">
      <c r="C81" s="1"/>
      <c r="D81" s="1" t="str">
        <f t="shared" si="59"/>
        <v/>
      </c>
      <c r="F81" s="1"/>
      <c r="G81" s="1" t="str">
        <f t="shared" si="42"/>
        <v/>
      </c>
      <c r="H81" s="7" t="str">
        <f t="shared" si="61"/>
        <v/>
      </c>
      <c r="I81"/>
      <c r="J81" s="1" t="str">
        <f t="shared" si="43"/>
        <v/>
      </c>
      <c r="K81" s="1" t="str">
        <f t="shared" si="62"/>
        <v/>
      </c>
      <c r="L81" s="1"/>
      <c r="M81" t="str">
        <f t="shared" si="44"/>
        <v/>
      </c>
      <c r="N81" s="1" t="str">
        <f t="shared" si="60"/>
        <v/>
      </c>
      <c r="Q81" s="1" t="str">
        <f t="shared" si="45"/>
        <v/>
      </c>
      <c r="R81" s="1" t="str">
        <f t="shared" si="46"/>
        <v/>
      </c>
      <c r="S81" s="1" t="str">
        <f t="shared" si="47"/>
        <v/>
      </c>
      <c r="T81" s="1" t="str">
        <f t="shared" si="48"/>
        <v/>
      </c>
      <c r="U81" s="1" t="str">
        <f t="shared" si="49"/>
        <v/>
      </c>
      <c r="V81" s="1" t="str">
        <f t="shared" si="50"/>
        <v/>
      </c>
      <c r="W81" s="1" t="str">
        <f t="shared" si="51"/>
        <v/>
      </c>
      <c r="X81" s="1" t="str">
        <f t="shared" si="52"/>
        <v/>
      </c>
      <c r="Y81" s="1" t="str">
        <f t="shared" si="53"/>
        <v/>
      </c>
      <c r="Z81" s="1" t="str">
        <f t="shared" si="54"/>
        <v/>
      </c>
      <c r="AA81" s="1" t="str">
        <f t="shared" si="55"/>
        <v/>
      </c>
      <c r="AB81" s="1" t="str">
        <f t="shared" si="56"/>
        <v/>
      </c>
      <c r="AC81" s="1" t="str">
        <f t="shared" si="57"/>
        <v/>
      </c>
      <c r="AD81" s="1" t="str">
        <f t="shared" si="58"/>
        <v/>
      </c>
    </row>
    <row r="82" spans="3:30">
      <c r="C82" s="1"/>
      <c r="D82" s="1" t="str">
        <f t="shared" si="59"/>
        <v/>
      </c>
      <c r="F82" s="1"/>
      <c r="G82" s="1" t="str">
        <f t="shared" si="42"/>
        <v/>
      </c>
      <c r="H82" s="7" t="str">
        <f t="shared" si="61"/>
        <v/>
      </c>
      <c r="I82"/>
      <c r="J82" s="1" t="str">
        <f t="shared" si="43"/>
        <v/>
      </c>
      <c r="K82" s="1" t="str">
        <f t="shared" si="62"/>
        <v/>
      </c>
      <c r="L82" s="1"/>
      <c r="M82" t="str">
        <f t="shared" si="44"/>
        <v/>
      </c>
      <c r="N82" s="1" t="str">
        <f t="shared" si="60"/>
        <v/>
      </c>
      <c r="Q82" s="1" t="str">
        <f t="shared" si="45"/>
        <v/>
      </c>
      <c r="R82" s="1" t="str">
        <f t="shared" si="46"/>
        <v/>
      </c>
      <c r="S82" s="1" t="str">
        <f t="shared" si="47"/>
        <v/>
      </c>
      <c r="T82" s="1" t="str">
        <f t="shared" si="48"/>
        <v/>
      </c>
      <c r="U82" s="1" t="str">
        <f t="shared" si="49"/>
        <v/>
      </c>
      <c r="V82" s="1" t="str">
        <f t="shared" si="50"/>
        <v/>
      </c>
      <c r="W82" s="1" t="str">
        <f t="shared" si="51"/>
        <v/>
      </c>
      <c r="X82" s="1" t="str">
        <f t="shared" si="52"/>
        <v/>
      </c>
      <c r="Y82" s="1" t="str">
        <f t="shared" si="53"/>
        <v/>
      </c>
      <c r="Z82" s="1" t="str">
        <f t="shared" si="54"/>
        <v/>
      </c>
      <c r="AA82" s="1" t="str">
        <f t="shared" si="55"/>
        <v/>
      </c>
      <c r="AB82" s="1" t="str">
        <f t="shared" si="56"/>
        <v/>
      </c>
      <c r="AC82" s="1" t="str">
        <f t="shared" si="57"/>
        <v/>
      </c>
      <c r="AD82" s="1" t="str">
        <f t="shared" si="58"/>
        <v/>
      </c>
    </row>
    <row r="83" spans="3:30">
      <c r="C83" s="1"/>
      <c r="D83" s="1" t="str">
        <f t="shared" si="59"/>
        <v/>
      </c>
      <c r="F83" s="1"/>
      <c r="G83" s="1" t="str">
        <f t="shared" si="42"/>
        <v/>
      </c>
      <c r="H83" s="7" t="str">
        <f t="shared" si="61"/>
        <v/>
      </c>
      <c r="I83"/>
      <c r="J83" s="1" t="str">
        <f t="shared" si="43"/>
        <v/>
      </c>
      <c r="K83" s="1" t="str">
        <f t="shared" si="62"/>
        <v/>
      </c>
      <c r="L83" s="1"/>
      <c r="M83" t="str">
        <f t="shared" si="44"/>
        <v/>
      </c>
      <c r="N83" s="1" t="str">
        <f t="shared" si="60"/>
        <v/>
      </c>
      <c r="Q83" s="1" t="str">
        <f t="shared" si="45"/>
        <v/>
      </c>
      <c r="R83" s="1" t="str">
        <f t="shared" si="46"/>
        <v/>
      </c>
      <c r="S83" s="1" t="str">
        <f t="shared" si="47"/>
        <v/>
      </c>
      <c r="T83" s="1" t="str">
        <f t="shared" si="48"/>
        <v/>
      </c>
      <c r="U83" s="1" t="str">
        <f t="shared" si="49"/>
        <v/>
      </c>
      <c r="V83" s="1" t="str">
        <f t="shared" si="50"/>
        <v/>
      </c>
      <c r="W83" s="1" t="str">
        <f t="shared" si="51"/>
        <v/>
      </c>
      <c r="X83" s="1" t="str">
        <f t="shared" si="52"/>
        <v/>
      </c>
      <c r="Y83" s="1" t="str">
        <f t="shared" si="53"/>
        <v/>
      </c>
      <c r="Z83" s="1" t="str">
        <f t="shared" si="54"/>
        <v/>
      </c>
      <c r="AA83" s="1" t="str">
        <f t="shared" si="55"/>
        <v/>
      </c>
      <c r="AB83" s="1" t="str">
        <f t="shared" si="56"/>
        <v/>
      </c>
      <c r="AC83" s="1" t="str">
        <f t="shared" si="57"/>
        <v/>
      </c>
      <c r="AD83" s="1" t="str">
        <f t="shared" si="58"/>
        <v/>
      </c>
    </row>
    <row r="84" spans="3:30">
      <c r="C84" s="1"/>
      <c r="D84" s="1" t="str">
        <f t="shared" si="59"/>
        <v/>
      </c>
      <c r="F84" s="1"/>
      <c r="G84" s="1" t="str">
        <f t="shared" si="42"/>
        <v/>
      </c>
      <c r="H84" s="7" t="str">
        <f t="shared" si="61"/>
        <v/>
      </c>
      <c r="I84"/>
      <c r="J84" s="1" t="str">
        <f t="shared" si="43"/>
        <v/>
      </c>
      <c r="K84" s="1" t="str">
        <f t="shared" si="62"/>
        <v/>
      </c>
      <c r="L84" s="1"/>
      <c r="M84" t="str">
        <f t="shared" si="44"/>
        <v/>
      </c>
      <c r="N84" s="1" t="str">
        <f t="shared" si="60"/>
        <v/>
      </c>
      <c r="Q84" s="1" t="str">
        <f t="shared" si="45"/>
        <v/>
      </c>
      <c r="R84" s="1" t="str">
        <f t="shared" si="46"/>
        <v/>
      </c>
      <c r="S84" s="1" t="str">
        <f t="shared" si="47"/>
        <v/>
      </c>
      <c r="T84" s="1" t="str">
        <f t="shared" si="48"/>
        <v/>
      </c>
      <c r="U84" s="1" t="str">
        <f t="shared" si="49"/>
        <v/>
      </c>
      <c r="V84" s="1" t="str">
        <f t="shared" si="50"/>
        <v/>
      </c>
      <c r="W84" s="1" t="str">
        <f t="shared" si="51"/>
        <v/>
      </c>
      <c r="X84" s="1" t="str">
        <f t="shared" si="52"/>
        <v/>
      </c>
      <c r="Y84" s="1" t="str">
        <f t="shared" si="53"/>
        <v/>
      </c>
      <c r="Z84" s="1" t="str">
        <f t="shared" si="54"/>
        <v/>
      </c>
      <c r="AA84" s="1" t="str">
        <f t="shared" si="55"/>
        <v/>
      </c>
      <c r="AB84" s="1" t="str">
        <f t="shared" si="56"/>
        <v/>
      </c>
      <c r="AC84" s="1" t="str">
        <f t="shared" si="57"/>
        <v/>
      </c>
      <c r="AD84" s="1" t="str">
        <f t="shared" si="58"/>
        <v/>
      </c>
    </row>
    <row r="85" spans="3:30">
      <c r="C85" s="1"/>
      <c r="D85" s="1" t="str">
        <f t="shared" si="59"/>
        <v/>
      </c>
      <c r="F85" s="1"/>
      <c r="G85" s="1" t="str">
        <f t="shared" si="42"/>
        <v/>
      </c>
      <c r="H85" s="7" t="str">
        <f t="shared" si="61"/>
        <v/>
      </c>
      <c r="I85"/>
      <c r="J85" s="1" t="str">
        <f t="shared" si="43"/>
        <v/>
      </c>
      <c r="K85" s="1" t="str">
        <f t="shared" si="62"/>
        <v/>
      </c>
      <c r="L85" s="1"/>
      <c r="M85" t="str">
        <f t="shared" si="44"/>
        <v/>
      </c>
      <c r="N85" s="1" t="str">
        <f t="shared" si="60"/>
        <v/>
      </c>
      <c r="Q85" s="1" t="str">
        <f t="shared" si="45"/>
        <v/>
      </c>
      <c r="R85" s="1" t="str">
        <f t="shared" si="46"/>
        <v/>
      </c>
      <c r="S85" s="1" t="str">
        <f t="shared" si="47"/>
        <v/>
      </c>
      <c r="T85" s="1" t="str">
        <f t="shared" si="48"/>
        <v/>
      </c>
      <c r="U85" s="1" t="str">
        <f t="shared" si="49"/>
        <v/>
      </c>
      <c r="V85" s="1" t="str">
        <f t="shared" si="50"/>
        <v/>
      </c>
      <c r="W85" s="1" t="str">
        <f t="shared" si="51"/>
        <v/>
      </c>
      <c r="X85" s="1" t="str">
        <f t="shared" si="52"/>
        <v/>
      </c>
      <c r="Y85" s="1" t="str">
        <f t="shared" si="53"/>
        <v/>
      </c>
      <c r="Z85" s="1" t="str">
        <f t="shared" si="54"/>
        <v/>
      </c>
      <c r="AA85" s="1" t="str">
        <f t="shared" si="55"/>
        <v/>
      </c>
      <c r="AB85" s="1" t="str">
        <f t="shared" si="56"/>
        <v/>
      </c>
      <c r="AC85" s="1" t="str">
        <f t="shared" si="57"/>
        <v/>
      </c>
      <c r="AD85" s="1" t="str">
        <f t="shared" si="58"/>
        <v/>
      </c>
    </row>
    <row r="86" spans="3:30">
      <c r="C86" s="1"/>
      <c r="D86" s="1" t="str">
        <f t="shared" si="59"/>
        <v/>
      </c>
      <c r="F86" s="1"/>
      <c r="G86" s="1" t="str">
        <f t="shared" si="42"/>
        <v/>
      </c>
      <c r="H86" s="7" t="str">
        <f t="shared" si="61"/>
        <v/>
      </c>
      <c r="I86"/>
      <c r="J86" s="1" t="str">
        <f t="shared" si="43"/>
        <v/>
      </c>
      <c r="K86" s="1" t="str">
        <f t="shared" si="62"/>
        <v/>
      </c>
      <c r="L86" s="1"/>
      <c r="M86" t="str">
        <f t="shared" si="44"/>
        <v/>
      </c>
      <c r="N86" s="1" t="str">
        <f t="shared" si="60"/>
        <v/>
      </c>
      <c r="Q86" s="1" t="str">
        <f t="shared" si="45"/>
        <v/>
      </c>
      <c r="R86" s="1" t="str">
        <f t="shared" si="46"/>
        <v/>
      </c>
      <c r="S86" s="1" t="str">
        <f t="shared" si="47"/>
        <v/>
      </c>
      <c r="T86" s="1" t="str">
        <f t="shared" si="48"/>
        <v/>
      </c>
      <c r="U86" s="1" t="str">
        <f t="shared" si="49"/>
        <v/>
      </c>
      <c r="V86" s="1" t="str">
        <f t="shared" si="50"/>
        <v/>
      </c>
      <c r="W86" s="1" t="str">
        <f t="shared" si="51"/>
        <v/>
      </c>
      <c r="X86" s="1" t="str">
        <f t="shared" si="52"/>
        <v/>
      </c>
      <c r="Y86" s="1" t="str">
        <f t="shared" si="53"/>
        <v/>
      </c>
      <c r="Z86" s="1" t="str">
        <f t="shared" si="54"/>
        <v/>
      </c>
      <c r="AA86" s="1" t="str">
        <f t="shared" si="55"/>
        <v/>
      </c>
      <c r="AB86" s="1" t="str">
        <f t="shared" si="56"/>
        <v/>
      </c>
      <c r="AC86" s="1" t="str">
        <f t="shared" si="57"/>
        <v/>
      </c>
      <c r="AD86" s="1" t="str">
        <f t="shared" si="58"/>
        <v/>
      </c>
    </row>
    <row r="87" spans="3:30">
      <c r="C87" s="1"/>
      <c r="D87" s="1" t="str">
        <f t="shared" si="59"/>
        <v/>
      </c>
      <c r="F87" s="1"/>
      <c r="G87" s="1" t="str">
        <f t="shared" si="42"/>
        <v/>
      </c>
      <c r="H87" s="7" t="str">
        <f t="shared" si="61"/>
        <v/>
      </c>
      <c r="I87"/>
      <c r="J87" s="1" t="str">
        <f t="shared" si="43"/>
        <v/>
      </c>
      <c r="K87" s="1" t="str">
        <f t="shared" si="62"/>
        <v/>
      </c>
      <c r="L87" s="1"/>
      <c r="M87" t="str">
        <f t="shared" si="44"/>
        <v/>
      </c>
      <c r="N87" s="1" t="str">
        <f t="shared" si="60"/>
        <v/>
      </c>
      <c r="Q87" s="1" t="str">
        <f t="shared" si="45"/>
        <v/>
      </c>
      <c r="R87" s="1" t="str">
        <f t="shared" si="46"/>
        <v/>
      </c>
      <c r="S87" s="1" t="str">
        <f t="shared" si="47"/>
        <v/>
      </c>
      <c r="T87" s="1" t="str">
        <f t="shared" si="48"/>
        <v/>
      </c>
      <c r="U87" s="1" t="str">
        <f t="shared" si="49"/>
        <v/>
      </c>
      <c r="V87" s="1" t="str">
        <f t="shared" si="50"/>
        <v/>
      </c>
      <c r="W87" s="1" t="str">
        <f t="shared" si="51"/>
        <v/>
      </c>
      <c r="X87" s="1" t="str">
        <f t="shared" si="52"/>
        <v/>
      </c>
      <c r="Y87" s="1" t="str">
        <f t="shared" si="53"/>
        <v/>
      </c>
      <c r="Z87" s="1" t="str">
        <f t="shared" si="54"/>
        <v/>
      </c>
      <c r="AA87" s="1" t="str">
        <f t="shared" si="55"/>
        <v/>
      </c>
      <c r="AB87" s="1" t="str">
        <f t="shared" si="56"/>
        <v/>
      </c>
      <c r="AC87" s="1" t="str">
        <f t="shared" si="57"/>
        <v/>
      </c>
      <c r="AD87" s="1" t="str">
        <f t="shared" si="58"/>
        <v/>
      </c>
    </row>
    <row r="88" spans="3:30">
      <c r="C88" s="1"/>
      <c r="D88" s="1" t="str">
        <f t="shared" si="59"/>
        <v/>
      </c>
      <c r="F88" s="1"/>
      <c r="G88" s="1" t="str">
        <f t="shared" si="42"/>
        <v/>
      </c>
      <c r="H88" s="7" t="str">
        <f t="shared" si="61"/>
        <v/>
      </c>
      <c r="I88"/>
      <c r="J88" s="1" t="str">
        <f t="shared" si="43"/>
        <v/>
      </c>
      <c r="K88" s="1" t="str">
        <f t="shared" si="62"/>
        <v/>
      </c>
      <c r="L88" s="1"/>
      <c r="M88" t="str">
        <f t="shared" si="44"/>
        <v/>
      </c>
      <c r="N88" s="1" t="str">
        <f t="shared" si="60"/>
        <v/>
      </c>
      <c r="Q88" s="1" t="str">
        <f t="shared" si="45"/>
        <v/>
      </c>
      <c r="R88" s="1" t="str">
        <f t="shared" si="46"/>
        <v/>
      </c>
      <c r="S88" s="1" t="str">
        <f t="shared" si="47"/>
        <v/>
      </c>
      <c r="T88" s="1" t="str">
        <f t="shared" si="48"/>
        <v/>
      </c>
      <c r="U88" s="1" t="str">
        <f t="shared" si="49"/>
        <v/>
      </c>
      <c r="V88" s="1" t="str">
        <f t="shared" si="50"/>
        <v/>
      </c>
      <c r="W88" s="1" t="str">
        <f t="shared" si="51"/>
        <v/>
      </c>
      <c r="X88" s="1" t="str">
        <f t="shared" si="52"/>
        <v/>
      </c>
      <c r="Y88" s="1" t="str">
        <f t="shared" si="53"/>
        <v/>
      </c>
      <c r="Z88" s="1" t="str">
        <f t="shared" si="54"/>
        <v/>
      </c>
      <c r="AA88" s="1" t="str">
        <f t="shared" si="55"/>
        <v/>
      </c>
      <c r="AB88" s="1" t="str">
        <f t="shared" si="56"/>
        <v/>
      </c>
      <c r="AC88" s="1" t="str">
        <f t="shared" si="57"/>
        <v/>
      </c>
      <c r="AD88" s="1" t="str">
        <f t="shared" si="58"/>
        <v/>
      </c>
    </row>
    <row r="89" spans="3:30">
      <c r="C89" s="1"/>
      <c r="D89" s="1" t="str">
        <f t="shared" si="59"/>
        <v/>
      </c>
      <c r="F89" s="1"/>
      <c r="G89" s="1" t="str">
        <f t="shared" si="42"/>
        <v/>
      </c>
      <c r="H89" s="7" t="str">
        <f t="shared" si="61"/>
        <v/>
      </c>
      <c r="I89"/>
      <c r="J89" s="1" t="str">
        <f t="shared" si="43"/>
        <v/>
      </c>
      <c r="K89" s="1" t="str">
        <f t="shared" si="62"/>
        <v/>
      </c>
      <c r="L89" s="1"/>
      <c r="M89" t="str">
        <f t="shared" si="44"/>
        <v/>
      </c>
      <c r="N89" s="1" t="str">
        <f t="shared" si="60"/>
        <v/>
      </c>
      <c r="Q89" s="1" t="str">
        <f t="shared" si="45"/>
        <v/>
      </c>
      <c r="R89" s="1" t="str">
        <f t="shared" si="46"/>
        <v/>
      </c>
      <c r="S89" s="1" t="str">
        <f t="shared" si="47"/>
        <v/>
      </c>
      <c r="T89" s="1" t="str">
        <f t="shared" si="48"/>
        <v/>
      </c>
      <c r="U89" s="1" t="str">
        <f t="shared" si="49"/>
        <v/>
      </c>
      <c r="V89" s="1" t="str">
        <f t="shared" si="50"/>
        <v/>
      </c>
      <c r="W89" s="1" t="str">
        <f t="shared" si="51"/>
        <v/>
      </c>
      <c r="X89" s="1" t="str">
        <f t="shared" si="52"/>
        <v/>
      </c>
      <c r="Y89" s="1" t="str">
        <f t="shared" si="53"/>
        <v/>
      </c>
      <c r="Z89" s="1" t="str">
        <f t="shared" si="54"/>
        <v/>
      </c>
      <c r="AA89" s="1" t="str">
        <f t="shared" si="55"/>
        <v/>
      </c>
      <c r="AB89" s="1" t="str">
        <f t="shared" si="56"/>
        <v/>
      </c>
      <c r="AC89" s="1" t="str">
        <f t="shared" si="57"/>
        <v/>
      </c>
      <c r="AD89" s="1" t="str">
        <f t="shared" si="58"/>
        <v/>
      </c>
    </row>
    <row r="90" spans="3:30">
      <c r="C90" s="1"/>
      <c r="D90" s="1" t="str">
        <f t="shared" si="59"/>
        <v/>
      </c>
      <c r="F90" s="1"/>
      <c r="G90" s="1" t="str">
        <f t="shared" si="42"/>
        <v/>
      </c>
      <c r="H90" s="7" t="str">
        <f t="shared" si="61"/>
        <v/>
      </c>
      <c r="I90"/>
      <c r="J90" s="1" t="str">
        <f t="shared" si="43"/>
        <v/>
      </c>
      <c r="K90" s="1" t="str">
        <f t="shared" si="62"/>
        <v/>
      </c>
      <c r="L90" s="1"/>
      <c r="M90" t="str">
        <f t="shared" si="44"/>
        <v/>
      </c>
      <c r="N90" s="1" t="str">
        <f t="shared" si="60"/>
        <v/>
      </c>
      <c r="Q90" s="1" t="str">
        <f t="shared" si="45"/>
        <v/>
      </c>
      <c r="R90" s="1" t="str">
        <f t="shared" si="46"/>
        <v/>
      </c>
      <c r="S90" s="1" t="str">
        <f t="shared" si="47"/>
        <v/>
      </c>
      <c r="T90" s="1" t="str">
        <f t="shared" si="48"/>
        <v/>
      </c>
      <c r="U90" s="1" t="str">
        <f t="shared" si="49"/>
        <v/>
      </c>
      <c r="V90" s="1" t="str">
        <f t="shared" si="50"/>
        <v/>
      </c>
      <c r="W90" s="1" t="str">
        <f t="shared" si="51"/>
        <v/>
      </c>
      <c r="X90" s="1" t="str">
        <f t="shared" si="52"/>
        <v/>
      </c>
      <c r="Y90" s="1" t="str">
        <f t="shared" si="53"/>
        <v/>
      </c>
      <c r="Z90" s="1" t="str">
        <f t="shared" si="54"/>
        <v/>
      </c>
      <c r="AA90" s="1" t="str">
        <f t="shared" si="55"/>
        <v/>
      </c>
      <c r="AB90" s="1" t="str">
        <f t="shared" si="56"/>
        <v/>
      </c>
      <c r="AC90" s="1" t="str">
        <f t="shared" si="57"/>
        <v/>
      </c>
      <c r="AD90" s="1" t="str">
        <f t="shared" si="58"/>
        <v/>
      </c>
    </row>
    <row r="91" spans="3:30">
      <c r="C91" s="1"/>
      <c r="D91" s="1" t="str">
        <f t="shared" si="59"/>
        <v/>
      </c>
      <c r="F91" s="1"/>
      <c r="G91" s="1" t="str">
        <f t="shared" si="42"/>
        <v/>
      </c>
      <c r="H91" s="7" t="str">
        <f t="shared" si="61"/>
        <v/>
      </c>
      <c r="I91"/>
      <c r="J91" s="1" t="str">
        <f t="shared" si="43"/>
        <v/>
      </c>
      <c r="K91" s="1" t="str">
        <f t="shared" si="62"/>
        <v/>
      </c>
      <c r="L91" s="1"/>
      <c r="M91" t="str">
        <f t="shared" si="44"/>
        <v/>
      </c>
      <c r="N91" s="1" t="str">
        <f t="shared" si="60"/>
        <v/>
      </c>
      <c r="Q91" s="1" t="str">
        <f t="shared" si="45"/>
        <v/>
      </c>
      <c r="R91" s="1" t="str">
        <f t="shared" si="46"/>
        <v/>
      </c>
      <c r="S91" s="1" t="str">
        <f t="shared" si="47"/>
        <v/>
      </c>
      <c r="T91" s="1" t="str">
        <f t="shared" si="48"/>
        <v/>
      </c>
      <c r="U91" s="1" t="str">
        <f t="shared" si="49"/>
        <v/>
      </c>
      <c r="V91" s="1" t="str">
        <f t="shared" si="50"/>
        <v/>
      </c>
      <c r="W91" s="1" t="str">
        <f t="shared" si="51"/>
        <v/>
      </c>
      <c r="X91" s="1" t="str">
        <f t="shared" si="52"/>
        <v/>
      </c>
      <c r="Y91" s="1" t="str">
        <f t="shared" si="53"/>
        <v/>
      </c>
      <c r="Z91" s="1" t="str">
        <f t="shared" si="54"/>
        <v/>
      </c>
      <c r="AA91" s="1" t="str">
        <f t="shared" si="55"/>
        <v/>
      </c>
      <c r="AB91" s="1" t="str">
        <f t="shared" si="56"/>
        <v/>
      </c>
      <c r="AC91" s="1" t="str">
        <f t="shared" si="57"/>
        <v/>
      </c>
      <c r="AD91" s="1" t="str">
        <f t="shared" si="58"/>
        <v/>
      </c>
    </row>
    <row r="92" spans="3:30">
      <c r="C92" s="1"/>
      <c r="D92" s="1" t="str">
        <f t="shared" si="59"/>
        <v/>
      </c>
      <c r="F92" s="1"/>
      <c r="G92" s="1" t="str">
        <f t="shared" si="42"/>
        <v/>
      </c>
      <c r="H92" s="7" t="str">
        <f t="shared" si="61"/>
        <v/>
      </c>
      <c r="I92"/>
      <c r="J92" s="1" t="str">
        <f t="shared" si="43"/>
        <v/>
      </c>
      <c r="K92" s="1" t="str">
        <f t="shared" si="62"/>
        <v/>
      </c>
      <c r="L92" s="1"/>
      <c r="M92" t="str">
        <f t="shared" si="44"/>
        <v/>
      </c>
      <c r="N92" s="1" t="str">
        <f t="shared" si="60"/>
        <v/>
      </c>
      <c r="Q92" s="1" t="str">
        <f t="shared" si="45"/>
        <v/>
      </c>
      <c r="R92" s="1" t="str">
        <f t="shared" si="46"/>
        <v/>
      </c>
      <c r="S92" s="1" t="str">
        <f t="shared" si="47"/>
        <v/>
      </c>
      <c r="T92" s="1" t="str">
        <f t="shared" si="48"/>
        <v/>
      </c>
      <c r="U92" s="1" t="str">
        <f t="shared" si="49"/>
        <v/>
      </c>
      <c r="V92" s="1" t="str">
        <f t="shared" si="50"/>
        <v/>
      </c>
      <c r="W92" s="1" t="str">
        <f t="shared" si="51"/>
        <v/>
      </c>
      <c r="X92" s="1" t="str">
        <f t="shared" si="52"/>
        <v/>
      </c>
      <c r="Y92" s="1" t="str">
        <f t="shared" si="53"/>
        <v/>
      </c>
      <c r="Z92" s="1" t="str">
        <f t="shared" si="54"/>
        <v/>
      </c>
      <c r="AA92" s="1" t="str">
        <f t="shared" si="55"/>
        <v/>
      </c>
      <c r="AB92" s="1" t="str">
        <f t="shared" si="56"/>
        <v/>
      </c>
      <c r="AC92" s="1" t="str">
        <f t="shared" si="57"/>
        <v/>
      </c>
      <c r="AD92" s="1" t="str">
        <f t="shared" si="58"/>
        <v/>
      </c>
    </row>
    <row r="93" spans="3:30">
      <c r="C93" s="1"/>
      <c r="D93" s="1" t="str">
        <f t="shared" si="59"/>
        <v/>
      </c>
      <c r="F93" s="1"/>
      <c r="G93" s="1" t="str">
        <f t="shared" si="42"/>
        <v/>
      </c>
      <c r="H93" s="7" t="str">
        <f t="shared" si="61"/>
        <v/>
      </c>
      <c r="I93"/>
      <c r="J93" s="1" t="str">
        <f t="shared" si="43"/>
        <v/>
      </c>
      <c r="K93" s="1" t="str">
        <f t="shared" si="62"/>
        <v/>
      </c>
      <c r="L93" s="1"/>
      <c r="M93" t="str">
        <f t="shared" si="44"/>
        <v/>
      </c>
      <c r="N93" s="1" t="str">
        <f t="shared" si="60"/>
        <v/>
      </c>
      <c r="Q93" s="1" t="str">
        <f t="shared" si="45"/>
        <v/>
      </c>
      <c r="R93" s="1" t="str">
        <f t="shared" si="46"/>
        <v/>
      </c>
      <c r="S93" s="1" t="str">
        <f t="shared" si="47"/>
        <v/>
      </c>
      <c r="T93" s="1" t="str">
        <f t="shared" si="48"/>
        <v/>
      </c>
      <c r="U93" s="1" t="str">
        <f t="shared" si="49"/>
        <v/>
      </c>
      <c r="V93" s="1" t="str">
        <f t="shared" si="50"/>
        <v/>
      </c>
      <c r="W93" s="1" t="str">
        <f t="shared" si="51"/>
        <v/>
      </c>
      <c r="X93" s="1" t="str">
        <f t="shared" si="52"/>
        <v/>
      </c>
      <c r="Y93" s="1" t="str">
        <f t="shared" si="53"/>
        <v/>
      </c>
      <c r="Z93" s="1" t="str">
        <f t="shared" si="54"/>
        <v/>
      </c>
      <c r="AA93" s="1" t="str">
        <f t="shared" si="55"/>
        <v/>
      </c>
      <c r="AB93" s="1" t="str">
        <f t="shared" si="56"/>
        <v/>
      </c>
      <c r="AC93" s="1" t="str">
        <f t="shared" si="57"/>
        <v/>
      </c>
      <c r="AD93" s="1" t="str">
        <f t="shared" si="58"/>
        <v/>
      </c>
    </row>
    <row r="94" spans="3:30">
      <c r="C94" s="1"/>
      <c r="D94" s="1" t="str">
        <f t="shared" si="59"/>
        <v/>
      </c>
      <c r="F94" s="1"/>
      <c r="G94" s="1" t="str">
        <f t="shared" si="42"/>
        <v/>
      </c>
      <c r="H94" s="7" t="str">
        <f t="shared" si="61"/>
        <v/>
      </c>
      <c r="I94"/>
      <c r="J94" s="1" t="str">
        <f t="shared" si="43"/>
        <v/>
      </c>
      <c r="K94" s="1" t="str">
        <f t="shared" si="62"/>
        <v/>
      </c>
      <c r="L94" s="1"/>
      <c r="M94" t="str">
        <f t="shared" si="44"/>
        <v/>
      </c>
      <c r="N94" s="1" t="str">
        <f t="shared" si="60"/>
        <v/>
      </c>
      <c r="Q94" s="1" t="str">
        <f t="shared" si="45"/>
        <v/>
      </c>
      <c r="R94" s="1" t="str">
        <f t="shared" si="46"/>
        <v/>
      </c>
      <c r="S94" s="1" t="str">
        <f t="shared" si="47"/>
        <v/>
      </c>
      <c r="T94" s="1" t="str">
        <f t="shared" si="48"/>
        <v/>
      </c>
      <c r="U94" s="1" t="str">
        <f t="shared" si="49"/>
        <v/>
      </c>
      <c r="V94" s="1" t="str">
        <f t="shared" si="50"/>
        <v/>
      </c>
      <c r="W94" s="1" t="str">
        <f t="shared" si="51"/>
        <v/>
      </c>
      <c r="X94" s="1" t="str">
        <f t="shared" si="52"/>
        <v/>
      </c>
      <c r="Y94" s="1" t="str">
        <f t="shared" si="53"/>
        <v/>
      </c>
      <c r="Z94" s="1" t="str">
        <f t="shared" si="54"/>
        <v/>
      </c>
      <c r="AA94" s="1" t="str">
        <f t="shared" si="55"/>
        <v/>
      </c>
      <c r="AB94" s="1" t="str">
        <f t="shared" si="56"/>
        <v/>
      </c>
      <c r="AC94" s="1" t="str">
        <f t="shared" si="57"/>
        <v/>
      </c>
      <c r="AD94" s="1" t="str">
        <f t="shared" si="58"/>
        <v/>
      </c>
    </row>
    <row r="95" spans="3:30">
      <c r="C95" s="1"/>
      <c r="D95" s="1" t="str">
        <f t="shared" si="59"/>
        <v/>
      </c>
      <c r="F95" s="1"/>
      <c r="G95" s="1" t="str">
        <f t="shared" si="42"/>
        <v/>
      </c>
      <c r="H95" s="7" t="str">
        <f t="shared" si="61"/>
        <v/>
      </c>
      <c r="I95"/>
      <c r="J95" s="1" t="str">
        <f t="shared" si="43"/>
        <v/>
      </c>
      <c r="K95" s="1" t="str">
        <f t="shared" si="62"/>
        <v/>
      </c>
      <c r="L95" s="1"/>
      <c r="M95" t="str">
        <f t="shared" si="44"/>
        <v/>
      </c>
      <c r="N95" s="1" t="str">
        <f t="shared" si="60"/>
        <v/>
      </c>
      <c r="Q95" s="1" t="str">
        <f t="shared" si="45"/>
        <v/>
      </c>
      <c r="R95" s="1" t="str">
        <f t="shared" si="46"/>
        <v/>
      </c>
      <c r="S95" s="1" t="str">
        <f t="shared" si="47"/>
        <v/>
      </c>
      <c r="T95" s="1" t="str">
        <f t="shared" si="48"/>
        <v/>
      </c>
      <c r="U95" s="1" t="str">
        <f t="shared" si="49"/>
        <v/>
      </c>
      <c r="V95" s="1" t="str">
        <f t="shared" si="50"/>
        <v/>
      </c>
      <c r="W95" s="1" t="str">
        <f t="shared" si="51"/>
        <v/>
      </c>
      <c r="X95" s="1" t="str">
        <f t="shared" si="52"/>
        <v/>
      </c>
      <c r="Y95" s="1" t="str">
        <f t="shared" si="53"/>
        <v/>
      </c>
      <c r="Z95" s="1" t="str">
        <f t="shared" si="54"/>
        <v/>
      </c>
      <c r="AA95" s="1" t="str">
        <f t="shared" si="55"/>
        <v/>
      </c>
      <c r="AB95" s="1" t="str">
        <f t="shared" si="56"/>
        <v/>
      </c>
      <c r="AC95" s="1" t="str">
        <f t="shared" si="57"/>
        <v/>
      </c>
      <c r="AD95" s="1" t="str">
        <f t="shared" si="58"/>
        <v/>
      </c>
    </row>
    <row r="96" spans="3:30">
      <c r="C96" s="1"/>
      <c r="D96" s="1" t="str">
        <f t="shared" si="59"/>
        <v/>
      </c>
      <c r="F96" s="1"/>
      <c r="G96" s="1" t="str">
        <f t="shared" si="42"/>
        <v/>
      </c>
      <c r="H96" s="7" t="str">
        <f t="shared" si="61"/>
        <v/>
      </c>
      <c r="I96"/>
      <c r="J96" s="1" t="str">
        <f t="shared" si="43"/>
        <v/>
      </c>
      <c r="K96" s="1" t="str">
        <f t="shared" si="62"/>
        <v/>
      </c>
      <c r="L96" s="1"/>
      <c r="M96" t="str">
        <f t="shared" si="44"/>
        <v/>
      </c>
      <c r="N96" s="1" t="str">
        <f t="shared" si="60"/>
        <v/>
      </c>
      <c r="Q96" s="1" t="str">
        <f t="shared" si="45"/>
        <v/>
      </c>
      <c r="R96" s="1" t="str">
        <f t="shared" si="46"/>
        <v/>
      </c>
      <c r="S96" s="1" t="str">
        <f t="shared" si="47"/>
        <v/>
      </c>
      <c r="T96" s="1" t="str">
        <f t="shared" si="48"/>
        <v/>
      </c>
      <c r="U96" s="1" t="str">
        <f t="shared" si="49"/>
        <v/>
      </c>
      <c r="V96" s="1" t="str">
        <f t="shared" si="50"/>
        <v/>
      </c>
      <c r="W96" s="1" t="str">
        <f t="shared" si="51"/>
        <v/>
      </c>
      <c r="X96" s="1" t="str">
        <f t="shared" si="52"/>
        <v/>
      </c>
      <c r="Y96" s="1" t="str">
        <f t="shared" si="53"/>
        <v/>
      </c>
      <c r="Z96" s="1" t="str">
        <f t="shared" si="54"/>
        <v/>
      </c>
      <c r="AA96" s="1" t="str">
        <f t="shared" si="55"/>
        <v/>
      </c>
      <c r="AB96" s="1" t="str">
        <f t="shared" si="56"/>
        <v/>
      </c>
      <c r="AC96" s="1" t="str">
        <f t="shared" si="57"/>
        <v/>
      </c>
      <c r="AD96" s="1" t="str">
        <f t="shared" si="58"/>
        <v/>
      </c>
    </row>
    <row r="97" spans="3:30">
      <c r="C97" s="1"/>
      <c r="D97" s="1" t="str">
        <f t="shared" si="59"/>
        <v/>
      </c>
      <c r="F97" s="1"/>
      <c r="G97" s="1" t="str">
        <f t="shared" si="42"/>
        <v/>
      </c>
      <c r="H97" s="7" t="str">
        <f t="shared" si="61"/>
        <v/>
      </c>
      <c r="I97"/>
      <c r="J97" s="1" t="str">
        <f t="shared" si="43"/>
        <v/>
      </c>
      <c r="K97" s="1" t="str">
        <f t="shared" si="62"/>
        <v/>
      </c>
      <c r="L97" s="1"/>
      <c r="M97" t="str">
        <f t="shared" si="44"/>
        <v/>
      </c>
      <c r="N97" s="1" t="str">
        <f t="shared" si="60"/>
        <v/>
      </c>
      <c r="Q97" s="1" t="str">
        <f t="shared" si="45"/>
        <v/>
      </c>
      <c r="R97" s="1" t="str">
        <f t="shared" si="46"/>
        <v/>
      </c>
      <c r="S97" s="1" t="str">
        <f t="shared" si="47"/>
        <v/>
      </c>
      <c r="T97" s="1" t="str">
        <f t="shared" si="48"/>
        <v/>
      </c>
      <c r="U97" s="1" t="str">
        <f t="shared" si="49"/>
        <v/>
      </c>
      <c r="V97" s="1" t="str">
        <f t="shared" si="50"/>
        <v/>
      </c>
      <c r="W97" s="1" t="str">
        <f t="shared" si="51"/>
        <v/>
      </c>
      <c r="X97" s="1" t="str">
        <f t="shared" si="52"/>
        <v/>
      </c>
      <c r="Y97" s="1" t="str">
        <f t="shared" si="53"/>
        <v/>
      </c>
      <c r="Z97" s="1" t="str">
        <f t="shared" si="54"/>
        <v/>
      </c>
      <c r="AA97" s="1" t="str">
        <f t="shared" si="55"/>
        <v/>
      </c>
      <c r="AB97" s="1" t="str">
        <f t="shared" si="56"/>
        <v/>
      </c>
      <c r="AC97" s="1" t="str">
        <f t="shared" si="57"/>
        <v/>
      </c>
      <c r="AD97" s="1" t="str">
        <f t="shared" si="58"/>
        <v/>
      </c>
    </row>
    <row r="98" spans="3:30">
      <c r="C98" s="1"/>
      <c r="D98" s="1" t="str">
        <f t="shared" si="59"/>
        <v/>
      </c>
      <c r="F98" s="1"/>
      <c r="G98" s="1" t="str">
        <f t="shared" si="42"/>
        <v/>
      </c>
      <c r="H98" s="7" t="str">
        <f t="shared" si="61"/>
        <v/>
      </c>
      <c r="I98"/>
      <c r="J98" s="1" t="str">
        <f t="shared" si="43"/>
        <v/>
      </c>
      <c r="K98" s="1" t="str">
        <f t="shared" si="62"/>
        <v/>
      </c>
      <c r="L98" s="1"/>
      <c r="M98" t="str">
        <f t="shared" si="44"/>
        <v/>
      </c>
      <c r="N98" s="1" t="str">
        <f t="shared" si="60"/>
        <v/>
      </c>
      <c r="Q98" s="1" t="str">
        <f t="shared" si="45"/>
        <v/>
      </c>
      <c r="R98" s="1" t="str">
        <f t="shared" si="46"/>
        <v/>
      </c>
      <c r="S98" s="1" t="str">
        <f t="shared" si="47"/>
        <v/>
      </c>
      <c r="T98" s="1" t="str">
        <f t="shared" si="48"/>
        <v/>
      </c>
      <c r="U98" s="1" t="str">
        <f t="shared" si="49"/>
        <v/>
      </c>
      <c r="V98" s="1" t="str">
        <f t="shared" si="50"/>
        <v/>
      </c>
      <c r="W98" s="1" t="str">
        <f t="shared" si="51"/>
        <v/>
      </c>
      <c r="X98" s="1" t="str">
        <f t="shared" si="52"/>
        <v/>
      </c>
      <c r="Y98" s="1" t="str">
        <f t="shared" si="53"/>
        <v/>
      </c>
      <c r="Z98" s="1" t="str">
        <f t="shared" si="54"/>
        <v/>
      </c>
      <c r="AA98" s="1" t="str">
        <f t="shared" si="55"/>
        <v/>
      </c>
      <c r="AB98" s="1" t="str">
        <f t="shared" si="56"/>
        <v/>
      </c>
      <c r="AC98" s="1" t="str">
        <f t="shared" si="57"/>
        <v/>
      </c>
      <c r="AD98" s="1" t="str">
        <f t="shared" si="58"/>
        <v/>
      </c>
    </row>
    <row r="99" spans="3:30">
      <c r="C99" s="1"/>
      <c r="D99" s="1" t="str">
        <f t="shared" si="59"/>
        <v/>
      </c>
      <c r="F99" s="1"/>
      <c r="G99" s="1" t="str">
        <f t="shared" si="42"/>
        <v/>
      </c>
      <c r="H99" s="7" t="str">
        <f t="shared" si="61"/>
        <v/>
      </c>
      <c r="I99"/>
      <c r="J99" s="1" t="str">
        <f t="shared" si="43"/>
        <v/>
      </c>
      <c r="K99" s="1" t="str">
        <f t="shared" si="62"/>
        <v/>
      </c>
      <c r="L99" s="1"/>
      <c r="M99" t="str">
        <f t="shared" si="44"/>
        <v/>
      </c>
      <c r="N99" s="1" t="str">
        <f t="shared" si="60"/>
        <v/>
      </c>
      <c r="Q99" s="1" t="str">
        <f t="shared" si="45"/>
        <v/>
      </c>
      <c r="R99" s="1" t="str">
        <f t="shared" si="46"/>
        <v/>
      </c>
      <c r="S99" s="1" t="str">
        <f t="shared" si="47"/>
        <v/>
      </c>
      <c r="T99" s="1" t="str">
        <f t="shared" si="48"/>
        <v/>
      </c>
      <c r="U99" s="1" t="str">
        <f t="shared" si="49"/>
        <v/>
      </c>
      <c r="V99" s="1" t="str">
        <f t="shared" si="50"/>
        <v/>
      </c>
      <c r="W99" s="1" t="str">
        <f t="shared" si="51"/>
        <v/>
      </c>
      <c r="X99" s="1" t="str">
        <f t="shared" si="52"/>
        <v/>
      </c>
      <c r="Y99" s="1" t="str">
        <f t="shared" si="53"/>
        <v/>
      </c>
      <c r="Z99" s="1" t="str">
        <f t="shared" si="54"/>
        <v/>
      </c>
      <c r="AA99" s="1" t="str">
        <f t="shared" si="55"/>
        <v/>
      </c>
      <c r="AB99" s="1" t="str">
        <f t="shared" si="56"/>
        <v/>
      </c>
      <c r="AC99" s="1" t="str">
        <f t="shared" si="57"/>
        <v/>
      </c>
      <c r="AD99" s="1" t="str">
        <f t="shared" si="58"/>
        <v/>
      </c>
    </row>
    <row r="100" spans="3:30">
      <c r="C100" s="1"/>
      <c r="D100" s="1" t="str">
        <f t="shared" si="59"/>
        <v/>
      </c>
      <c r="F100" s="1"/>
      <c r="G100" s="1" t="str">
        <f t="shared" si="42"/>
        <v/>
      </c>
      <c r="H100" s="7" t="str">
        <f t="shared" si="61"/>
        <v/>
      </c>
      <c r="I100"/>
      <c r="J100" s="1" t="str">
        <f t="shared" si="43"/>
        <v/>
      </c>
      <c r="K100" s="1" t="str">
        <f t="shared" si="62"/>
        <v/>
      </c>
      <c r="L100" s="1"/>
      <c r="M100" t="str">
        <f t="shared" si="44"/>
        <v/>
      </c>
      <c r="N100" s="1" t="str">
        <f t="shared" si="60"/>
        <v/>
      </c>
      <c r="Q100" s="1" t="str">
        <f t="shared" si="45"/>
        <v/>
      </c>
      <c r="R100" s="1" t="str">
        <f t="shared" si="46"/>
        <v/>
      </c>
      <c r="S100" s="1" t="str">
        <f t="shared" si="47"/>
        <v/>
      </c>
      <c r="T100" s="1" t="str">
        <f t="shared" si="48"/>
        <v/>
      </c>
      <c r="U100" s="1" t="str">
        <f t="shared" si="49"/>
        <v/>
      </c>
      <c r="V100" s="1" t="str">
        <f t="shared" si="50"/>
        <v/>
      </c>
      <c r="W100" s="1" t="str">
        <f t="shared" si="51"/>
        <v/>
      </c>
      <c r="X100" s="1" t="str">
        <f t="shared" si="52"/>
        <v/>
      </c>
      <c r="Y100" s="1" t="str">
        <f t="shared" si="53"/>
        <v/>
      </c>
      <c r="Z100" s="1" t="str">
        <f t="shared" si="54"/>
        <v/>
      </c>
      <c r="AA100" s="1" t="str">
        <f t="shared" si="55"/>
        <v/>
      </c>
      <c r="AB100" s="1" t="str">
        <f t="shared" si="56"/>
        <v/>
      </c>
      <c r="AC100" s="1" t="str">
        <f t="shared" si="57"/>
        <v/>
      </c>
      <c r="AD100" s="1" t="str">
        <f t="shared" si="58"/>
        <v/>
      </c>
    </row>
    <row r="101" spans="3:30">
      <c r="C101" s="1"/>
      <c r="D101" s="1" t="str">
        <f t="shared" si="59"/>
        <v/>
      </c>
      <c r="F101" s="1"/>
      <c r="G101" s="1" t="str">
        <f t="shared" si="42"/>
        <v/>
      </c>
      <c r="H101" s="7" t="str">
        <f t="shared" si="61"/>
        <v/>
      </c>
      <c r="I101"/>
      <c r="J101" s="1" t="str">
        <f t="shared" si="43"/>
        <v/>
      </c>
      <c r="K101" s="1" t="str">
        <f t="shared" si="62"/>
        <v/>
      </c>
      <c r="L101" s="1"/>
      <c r="M101" t="str">
        <f t="shared" si="44"/>
        <v/>
      </c>
      <c r="N101" s="1" t="str">
        <f t="shared" si="60"/>
        <v/>
      </c>
      <c r="Q101" s="1" t="str">
        <f t="shared" si="45"/>
        <v/>
      </c>
      <c r="R101" s="1" t="str">
        <f t="shared" si="46"/>
        <v/>
      </c>
      <c r="S101" s="1" t="str">
        <f t="shared" si="47"/>
        <v/>
      </c>
      <c r="T101" s="1" t="str">
        <f t="shared" si="48"/>
        <v/>
      </c>
      <c r="U101" s="1" t="str">
        <f t="shared" si="49"/>
        <v/>
      </c>
      <c r="V101" s="1" t="str">
        <f t="shared" si="50"/>
        <v/>
      </c>
      <c r="W101" s="1" t="str">
        <f t="shared" si="51"/>
        <v/>
      </c>
      <c r="X101" s="1" t="str">
        <f t="shared" si="52"/>
        <v/>
      </c>
      <c r="Y101" s="1" t="str">
        <f t="shared" si="53"/>
        <v/>
      </c>
      <c r="Z101" s="1" t="str">
        <f t="shared" si="54"/>
        <v/>
      </c>
      <c r="AA101" s="1" t="str">
        <f t="shared" si="55"/>
        <v/>
      </c>
      <c r="AB101" s="1" t="str">
        <f t="shared" si="56"/>
        <v/>
      </c>
      <c r="AC101" s="1" t="str">
        <f t="shared" si="57"/>
        <v/>
      </c>
      <c r="AD101" s="1" t="str">
        <f t="shared" si="58"/>
        <v/>
      </c>
    </row>
    <row r="102" spans="3:30">
      <c r="C102" s="1"/>
      <c r="D102" s="1" t="str">
        <f t="shared" si="59"/>
        <v/>
      </c>
      <c r="F102" s="1"/>
      <c r="G102" s="1" t="str">
        <f t="shared" ref="G102:G133" si="63">IF($A102="","",1)</f>
        <v/>
      </c>
      <c r="H102" s="7" t="str">
        <f t="shared" si="61"/>
        <v/>
      </c>
      <c r="I102"/>
      <c r="J102" s="1" t="str">
        <f t="shared" ref="J102:J133" si="64">IF($A102="","",0)</f>
        <v/>
      </c>
      <c r="K102" s="1" t="str">
        <f t="shared" si="62"/>
        <v/>
      </c>
      <c r="L102" s="1"/>
      <c r="M102" t="str">
        <f t="shared" ref="M102:M133" si="65">IF(L102=1,1,IF(L102="","",0))</f>
        <v/>
      </c>
      <c r="N102" s="1" t="str">
        <f t="shared" si="60"/>
        <v/>
      </c>
      <c r="Q102" s="1" t="str">
        <f t="shared" ref="Q102:Q133" si="66">IF($A102="","",0)</f>
        <v/>
      </c>
      <c r="R102" s="1" t="str">
        <f t="shared" ref="R102:R133" si="67">IF($A102="","",-1)</f>
        <v/>
      </c>
      <c r="S102" s="1" t="str">
        <f t="shared" ref="S102:S133" si="68">IF($A102="","",-1)</f>
        <v/>
      </c>
      <c r="T102" s="1" t="str">
        <f t="shared" ref="T102:T133" si="69">IF($A102="","",1400)</f>
        <v/>
      </c>
      <c r="U102" s="1" t="str">
        <f t="shared" ref="U102:U133" si="70">IF($A102="","",0)</f>
        <v/>
      </c>
      <c r="V102" s="1" t="str">
        <f t="shared" ref="V102:V133" si="71">IF($A102="","",-1)</f>
        <v/>
      </c>
      <c r="W102" s="1" t="str">
        <f t="shared" ref="W102:W133" si="72">IF($A102="","",-1)</f>
        <v/>
      </c>
      <c r="X102" s="1" t="str">
        <f t="shared" ref="X102:X133" si="73">IF($A102="","",1)</f>
        <v/>
      </c>
      <c r="Y102" s="1" t="str">
        <f t="shared" ref="Y102:Y133" si="74">IF($A102="","",-1)</f>
        <v/>
      </c>
      <c r="Z102" s="1" t="str">
        <f t="shared" ref="Z102:Z133" si="75">IF($A102="","",-1)</f>
        <v/>
      </c>
      <c r="AA102" s="1" t="str">
        <f t="shared" ref="AA102:AA133" si="76">IF($A102="","",-1)</f>
        <v/>
      </c>
      <c r="AB102" s="1" t="str">
        <f t="shared" ref="AB102:AB133" si="77">IF($A102="","",-1)</f>
        <v/>
      </c>
      <c r="AC102" s="1" t="str">
        <f t="shared" ref="AC102:AC133" si="78">IF($A102="","",-1)</f>
        <v/>
      </c>
      <c r="AD102" s="1" t="str">
        <f t="shared" ref="AD102:AD133" si="79">IF($A102="","",1)</f>
        <v/>
      </c>
    </row>
    <row r="103" spans="3:30">
      <c r="C103" s="1"/>
      <c r="D103" s="1" t="str">
        <f t="shared" ref="D103:D134" si="80">IF($A103="","",-1)</f>
        <v/>
      </c>
      <c r="F103" s="1"/>
      <c r="G103" s="1" t="str">
        <f t="shared" si="63"/>
        <v/>
      </c>
      <c r="H103" s="7" t="str">
        <f t="shared" si="61"/>
        <v/>
      </c>
      <c r="I103"/>
      <c r="J103" s="1" t="str">
        <f t="shared" si="64"/>
        <v/>
      </c>
      <c r="K103" s="1" t="str">
        <f t="shared" si="62"/>
        <v/>
      </c>
      <c r="L103" s="1"/>
      <c r="M103" t="str">
        <f t="shared" si="65"/>
        <v/>
      </c>
      <c r="N103" s="1" t="str">
        <f t="shared" ref="N103:N134" si="81">IF(L103=1,0,IF(L103="","",1))</f>
        <v/>
      </c>
      <c r="Q103" s="1" t="str">
        <f t="shared" si="66"/>
        <v/>
      </c>
      <c r="R103" s="1" t="str">
        <f t="shared" si="67"/>
        <v/>
      </c>
      <c r="S103" s="1" t="str">
        <f t="shared" si="68"/>
        <v/>
      </c>
      <c r="T103" s="1" t="str">
        <f t="shared" si="69"/>
        <v/>
      </c>
      <c r="U103" s="1" t="str">
        <f t="shared" si="70"/>
        <v/>
      </c>
      <c r="V103" s="1" t="str">
        <f t="shared" si="71"/>
        <v/>
      </c>
      <c r="W103" s="1" t="str">
        <f t="shared" si="72"/>
        <v/>
      </c>
      <c r="X103" s="1" t="str">
        <f t="shared" si="73"/>
        <v/>
      </c>
      <c r="Y103" s="1" t="str">
        <f t="shared" si="74"/>
        <v/>
      </c>
      <c r="Z103" s="1" t="str">
        <f t="shared" si="75"/>
        <v/>
      </c>
      <c r="AA103" s="1" t="str">
        <f t="shared" si="76"/>
        <v/>
      </c>
      <c r="AB103" s="1" t="str">
        <f t="shared" si="77"/>
        <v/>
      </c>
      <c r="AC103" s="1" t="str">
        <f t="shared" si="78"/>
        <v/>
      </c>
      <c r="AD103" s="1" t="str">
        <f t="shared" si="79"/>
        <v/>
      </c>
    </row>
    <row r="104" spans="3:30">
      <c r="C104" s="1"/>
      <c r="D104" s="1" t="str">
        <f t="shared" si="80"/>
        <v/>
      </c>
      <c r="F104" s="1"/>
      <c r="G104" s="1" t="str">
        <f t="shared" si="63"/>
        <v/>
      </c>
      <c r="H104" s="7" t="str">
        <f t="shared" si="61"/>
        <v/>
      </c>
      <c r="I104"/>
      <c r="J104" s="1" t="str">
        <f t="shared" si="64"/>
        <v/>
      </c>
      <c r="K104" s="1" t="str">
        <f t="shared" si="62"/>
        <v/>
      </c>
      <c r="L104" s="1"/>
      <c r="M104" t="str">
        <f t="shared" si="65"/>
        <v/>
      </c>
      <c r="N104" s="1" t="str">
        <f t="shared" si="81"/>
        <v/>
      </c>
      <c r="Q104" s="1" t="str">
        <f t="shared" si="66"/>
        <v/>
      </c>
      <c r="R104" s="1" t="str">
        <f t="shared" si="67"/>
        <v/>
      </c>
      <c r="S104" s="1" t="str">
        <f t="shared" si="68"/>
        <v/>
      </c>
      <c r="T104" s="1" t="str">
        <f t="shared" si="69"/>
        <v/>
      </c>
      <c r="U104" s="1" t="str">
        <f t="shared" si="70"/>
        <v/>
      </c>
      <c r="V104" s="1" t="str">
        <f t="shared" si="71"/>
        <v/>
      </c>
      <c r="W104" s="1" t="str">
        <f t="shared" si="72"/>
        <v/>
      </c>
      <c r="X104" s="1" t="str">
        <f t="shared" si="73"/>
        <v/>
      </c>
      <c r="Y104" s="1" t="str">
        <f t="shared" si="74"/>
        <v/>
      </c>
      <c r="Z104" s="1" t="str">
        <f t="shared" si="75"/>
        <v/>
      </c>
      <c r="AA104" s="1" t="str">
        <f t="shared" si="76"/>
        <v/>
      </c>
      <c r="AB104" s="1" t="str">
        <f t="shared" si="77"/>
        <v/>
      </c>
      <c r="AC104" s="1" t="str">
        <f t="shared" si="78"/>
        <v/>
      </c>
      <c r="AD104" s="1" t="str">
        <f t="shared" si="79"/>
        <v/>
      </c>
    </row>
    <row r="105" spans="3:30">
      <c r="C105" s="1"/>
      <c r="D105" s="1" t="str">
        <f t="shared" si="80"/>
        <v/>
      </c>
      <c r="F105" s="1"/>
      <c r="G105" s="1" t="str">
        <f t="shared" si="63"/>
        <v/>
      </c>
      <c r="H105" s="7" t="str">
        <f t="shared" si="61"/>
        <v/>
      </c>
      <c r="I105"/>
      <c r="J105" s="1" t="str">
        <f t="shared" si="64"/>
        <v/>
      </c>
      <c r="K105" s="1" t="str">
        <f t="shared" si="62"/>
        <v/>
      </c>
      <c r="L105" s="1"/>
      <c r="M105" t="str">
        <f t="shared" si="65"/>
        <v/>
      </c>
      <c r="N105" s="1" t="str">
        <f t="shared" si="81"/>
        <v/>
      </c>
      <c r="Q105" s="1" t="str">
        <f t="shared" si="66"/>
        <v/>
      </c>
      <c r="R105" s="1" t="str">
        <f t="shared" si="67"/>
        <v/>
      </c>
      <c r="S105" s="1" t="str">
        <f t="shared" si="68"/>
        <v/>
      </c>
      <c r="T105" s="1" t="str">
        <f t="shared" si="69"/>
        <v/>
      </c>
      <c r="U105" s="1" t="str">
        <f t="shared" si="70"/>
        <v/>
      </c>
      <c r="V105" s="1" t="str">
        <f t="shared" si="71"/>
        <v/>
      </c>
      <c r="W105" s="1" t="str">
        <f t="shared" si="72"/>
        <v/>
      </c>
      <c r="X105" s="1" t="str">
        <f t="shared" si="73"/>
        <v/>
      </c>
      <c r="Y105" s="1" t="str">
        <f t="shared" si="74"/>
        <v/>
      </c>
      <c r="Z105" s="1" t="str">
        <f t="shared" si="75"/>
        <v/>
      </c>
      <c r="AA105" s="1" t="str">
        <f t="shared" si="76"/>
        <v/>
      </c>
      <c r="AB105" s="1" t="str">
        <f t="shared" si="77"/>
        <v/>
      </c>
      <c r="AC105" s="1" t="str">
        <f t="shared" si="78"/>
        <v/>
      </c>
      <c r="AD105" s="1" t="str">
        <f t="shared" si="79"/>
        <v/>
      </c>
    </row>
    <row r="106" spans="3:30">
      <c r="C106" s="1"/>
      <c r="D106" s="1" t="str">
        <f t="shared" si="80"/>
        <v/>
      </c>
      <c r="F106" s="1"/>
      <c r="G106" s="1" t="str">
        <f t="shared" si="63"/>
        <v/>
      </c>
      <c r="H106" s="7" t="str">
        <f t="shared" si="61"/>
        <v/>
      </c>
      <c r="I106"/>
      <c r="J106" s="1" t="str">
        <f t="shared" si="64"/>
        <v/>
      </c>
      <c r="K106" s="1" t="str">
        <f t="shared" si="62"/>
        <v/>
      </c>
      <c r="L106" s="1"/>
      <c r="M106" t="str">
        <f t="shared" si="65"/>
        <v/>
      </c>
      <c r="N106" s="1" t="str">
        <f t="shared" si="81"/>
        <v/>
      </c>
      <c r="Q106" s="1" t="str">
        <f t="shared" si="66"/>
        <v/>
      </c>
      <c r="R106" s="1" t="str">
        <f t="shared" si="67"/>
        <v/>
      </c>
      <c r="S106" s="1" t="str">
        <f t="shared" si="68"/>
        <v/>
      </c>
      <c r="T106" s="1" t="str">
        <f t="shared" si="69"/>
        <v/>
      </c>
      <c r="U106" s="1" t="str">
        <f t="shared" si="70"/>
        <v/>
      </c>
      <c r="V106" s="1" t="str">
        <f t="shared" si="71"/>
        <v/>
      </c>
      <c r="W106" s="1" t="str">
        <f t="shared" si="72"/>
        <v/>
      </c>
      <c r="X106" s="1" t="str">
        <f t="shared" si="73"/>
        <v/>
      </c>
      <c r="Y106" s="1" t="str">
        <f t="shared" si="74"/>
        <v/>
      </c>
      <c r="Z106" s="1" t="str">
        <f t="shared" si="75"/>
        <v/>
      </c>
      <c r="AA106" s="1" t="str">
        <f t="shared" si="76"/>
        <v/>
      </c>
      <c r="AB106" s="1" t="str">
        <f t="shared" si="77"/>
        <v/>
      </c>
      <c r="AC106" s="1" t="str">
        <f t="shared" si="78"/>
        <v/>
      </c>
      <c r="AD106" s="1" t="str">
        <f t="shared" si="79"/>
        <v/>
      </c>
    </row>
    <row r="107" spans="3:30">
      <c r="C107" s="1"/>
      <c r="D107" s="1" t="str">
        <f t="shared" si="80"/>
        <v/>
      </c>
      <c r="F107" s="1"/>
      <c r="G107" s="1" t="str">
        <f t="shared" si="63"/>
        <v/>
      </c>
      <c r="H107" s="7" t="str">
        <f t="shared" ref="H107:H138" si="82">IF($A107="","",4)</f>
        <v/>
      </c>
      <c r="I107"/>
      <c r="J107" s="1" t="str">
        <f t="shared" si="64"/>
        <v/>
      </c>
      <c r="K107" s="1" t="str">
        <f t="shared" ref="K107:K138" si="83">IF($A107="","",0)</f>
        <v/>
      </c>
      <c r="L107" s="1"/>
      <c r="M107" t="str">
        <f t="shared" si="65"/>
        <v/>
      </c>
      <c r="N107" s="1" t="str">
        <f t="shared" si="81"/>
        <v/>
      </c>
      <c r="Q107" s="1" t="str">
        <f t="shared" si="66"/>
        <v/>
      </c>
      <c r="R107" s="1" t="str">
        <f t="shared" si="67"/>
        <v/>
      </c>
      <c r="S107" s="1" t="str">
        <f t="shared" si="68"/>
        <v/>
      </c>
      <c r="T107" s="1" t="str">
        <f t="shared" si="69"/>
        <v/>
      </c>
      <c r="U107" s="1" t="str">
        <f t="shared" si="70"/>
        <v/>
      </c>
      <c r="V107" s="1" t="str">
        <f t="shared" si="71"/>
        <v/>
      </c>
      <c r="W107" s="1" t="str">
        <f t="shared" si="72"/>
        <v/>
      </c>
      <c r="X107" s="1" t="str">
        <f t="shared" si="73"/>
        <v/>
      </c>
      <c r="Y107" s="1" t="str">
        <f t="shared" si="74"/>
        <v/>
      </c>
      <c r="Z107" s="1" t="str">
        <f t="shared" si="75"/>
        <v/>
      </c>
      <c r="AA107" s="1" t="str">
        <f t="shared" si="76"/>
        <v/>
      </c>
      <c r="AB107" s="1" t="str">
        <f t="shared" si="77"/>
        <v/>
      </c>
      <c r="AC107" s="1" t="str">
        <f t="shared" si="78"/>
        <v/>
      </c>
      <c r="AD107" s="1" t="str">
        <f t="shared" si="79"/>
        <v/>
      </c>
    </row>
    <row r="108" spans="3:30">
      <c r="C108" s="1"/>
      <c r="D108" s="1" t="str">
        <f t="shared" si="80"/>
        <v/>
      </c>
      <c r="F108" s="1"/>
      <c r="G108" s="1" t="str">
        <f t="shared" si="63"/>
        <v/>
      </c>
      <c r="H108" s="7" t="str">
        <f t="shared" si="82"/>
        <v/>
      </c>
      <c r="I108"/>
      <c r="J108" s="1" t="str">
        <f t="shared" si="64"/>
        <v/>
      </c>
      <c r="K108" s="1" t="str">
        <f t="shared" si="83"/>
        <v/>
      </c>
      <c r="L108" s="1"/>
      <c r="M108" t="str">
        <f t="shared" si="65"/>
        <v/>
      </c>
      <c r="N108" s="1" t="str">
        <f t="shared" si="81"/>
        <v/>
      </c>
      <c r="Q108" s="1" t="str">
        <f t="shared" si="66"/>
        <v/>
      </c>
      <c r="R108" s="1" t="str">
        <f t="shared" si="67"/>
        <v/>
      </c>
      <c r="S108" s="1" t="str">
        <f t="shared" si="68"/>
        <v/>
      </c>
      <c r="T108" s="1" t="str">
        <f t="shared" si="69"/>
        <v/>
      </c>
      <c r="U108" s="1" t="str">
        <f t="shared" si="70"/>
        <v/>
      </c>
      <c r="V108" s="1" t="str">
        <f t="shared" si="71"/>
        <v/>
      </c>
      <c r="W108" s="1" t="str">
        <f t="shared" si="72"/>
        <v/>
      </c>
      <c r="X108" s="1" t="str">
        <f t="shared" si="73"/>
        <v/>
      </c>
      <c r="Y108" s="1" t="str">
        <f t="shared" si="74"/>
        <v/>
      </c>
      <c r="Z108" s="1" t="str">
        <f t="shared" si="75"/>
        <v/>
      </c>
      <c r="AA108" s="1" t="str">
        <f t="shared" si="76"/>
        <v/>
      </c>
      <c r="AB108" s="1" t="str">
        <f t="shared" si="77"/>
        <v/>
      </c>
      <c r="AC108" s="1" t="str">
        <f t="shared" si="78"/>
        <v/>
      </c>
      <c r="AD108" s="1" t="str">
        <f t="shared" si="79"/>
        <v/>
      </c>
    </row>
    <row r="109" spans="3:30">
      <c r="C109" s="1"/>
      <c r="D109" s="1" t="str">
        <f t="shared" si="80"/>
        <v/>
      </c>
      <c r="F109" s="1"/>
      <c r="G109" s="1" t="str">
        <f t="shared" si="63"/>
        <v/>
      </c>
      <c r="H109" s="7" t="str">
        <f t="shared" si="82"/>
        <v/>
      </c>
      <c r="I109"/>
      <c r="J109" s="1" t="str">
        <f t="shared" si="64"/>
        <v/>
      </c>
      <c r="K109" s="1" t="str">
        <f t="shared" si="83"/>
        <v/>
      </c>
      <c r="L109" s="1"/>
      <c r="M109" t="str">
        <f t="shared" si="65"/>
        <v/>
      </c>
      <c r="N109" s="1" t="str">
        <f t="shared" si="81"/>
        <v/>
      </c>
      <c r="Q109" s="1" t="str">
        <f t="shared" si="66"/>
        <v/>
      </c>
      <c r="R109" s="1" t="str">
        <f t="shared" si="67"/>
        <v/>
      </c>
      <c r="S109" s="1" t="str">
        <f t="shared" si="68"/>
        <v/>
      </c>
      <c r="T109" s="1" t="str">
        <f t="shared" si="69"/>
        <v/>
      </c>
      <c r="U109" s="1" t="str">
        <f t="shared" si="70"/>
        <v/>
      </c>
      <c r="V109" s="1" t="str">
        <f t="shared" si="71"/>
        <v/>
      </c>
      <c r="W109" s="1" t="str">
        <f t="shared" si="72"/>
        <v/>
      </c>
      <c r="X109" s="1" t="str">
        <f t="shared" si="73"/>
        <v/>
      </c>
      <c r="Y109" s="1" t="str">
        <f t="shared" si="74"/>
        <v/>
      </c>
      <c r="Z109" s="1" t="str">
        <f t="shared" si="75"/>
        <v/>
      </c>
      <c r="AA109" s="1" t="str">
        <f t="shared" si="76"/>
        <v/>
      </c>
      <c r="AB109" s="1" t="str">
        <f t="shared" si="77"/>
        <v/>
      </c>
      <c r="AC109" s="1" t="str">
        <f t="shared" si="78"/>
        <v/>
      </c>
      <c r="AD109" s="1" t="str">
        <f t="shared" si="79"/>
        <v/>
      </c>
    </row>
    <row r="110" spans="3:30">
      <c r="C110" s="1"/>
      <c r="D110" s="1" t="str">
        <f t="shared" si="80"/>
        <v/>
      </c>
      <c r="F110" s="1"/>
      <c r="G110" s="1" t="str">
        <f t="shared" si="63"/>
        <v/>
      </c>
      <c r="H110" s="7" t="str">
        <f t="shared" si="82"/>
        <v/>
      </c>
      <c r="I110"/>
      <c r="J110" s="1" t="str">
        <f t="shared" si="64"/>
        <v/>
      </c>
      <c r="K110" s="1" t="str">
        <f t="shared" si="83"/>
        <v/>
      </c>
      <c r="L110" s="1"/>
      <c r="M110" t="str">
        <f t="shared" si="65"/>
        <v/>
      </c>
      <c r="N110" s="1" t="str">
        <f t="shared" si="81"/>
        <v/>
      </c>
      <c r="Q110" s="1" t="str">
        <f t="shared" si="66"/>
        <v/>
      </c>
      <c r="R110" s="1" t="str">
        <f t="shared" si="67"/>
        <v/>
      </c>
      <c r="S110" s="1" t="str">
        <f t="shared" si="68"/>
        <v/>
      </c>
      <c r="T110" s="1" t="str">
        <f t="shared" si="69"/>
        <v/>
      </c>
      <c r="U110" s="1" t="str">
        <f t="shared" si="70"/>
        <v/>
      </c>
      <c r="V110" s="1" t="str">
        <f t="shared" si="71"/>
        <v/>
      </c>
      <c r="W110" s="1" t="str">
        <f t="shared" si="72"/>
        <v/>
      </c>
      <c r="X110" s="1" t="str">
        <f t="shared" si="73"/>
        <v/>
      </c>
      <c r="Y110" s="1" t="str">
        <f t="shared" si="74"/>
        <v/>
      </c>
      <c r="Z110" s="1" t="str">
        <f t="shared" si="75"/>
        <v/>
      </c>
      <c r="AA110" s="1" t="str">
        <f t="shared" si="76"/>
        <v/>
      </c>
      <c r="AB110" s="1" t="str">
        <f t="shared" si="77"/>
        <v/>
      </c>
      <c r="AC110" s="1" t="str">
        <f t="shared" si="78"/>
        <v/>
      </c>
      <c r="AD110" s="1" t="str">
        <f t="shared" si="79"/>
        <v/>
      </c>
    </row>
    <row r="111" spans="3:30">
      <c r="C111" s="1"/>
      <c r="D111" s="1" t="str">
        <f t="shared" si="80"/>
        <v/>
      </c>
      <c r="F111" s="1"/>
      <c r="G111" s="1" t="str">
        <f t="shared" si="63"/>
        <v/>
      </c>
      <c r="H111" s="7" t="str">
        <f t="shared" si="82"/>
        <v/>
      </c>
      <c r="I111"/>
      <c r="J111" s="1" t="str">
        <f t="shared" si="64"/>
        <v/>
      </c>
      <c r="K111" s="1" t="str">
        <f t="shared" si="83"/>
        <v/>
      </c>
      <c r="L111" s="1"/>
      <c r="M111" t="str">
        <f t="shared" si="65"/>
        <v/>
      </c>
      <c r="N111" s="1" t="str">
        <f t="shared" si="81"/>
        <v/>
      </c>
      <c r="Q111" s="1" t="str">
        <f t="shared" si="66"/>
        <v/>
      </c>
      <c r="R111" s="1" t="str">
        <f t="shared" si="67"/>
        <v/>
      </c>
      <c r="S111" s="1" t="str">
        <f t="shared" si="68"/>
        <v/>
      </c>
      <c r="T111" s="1" t="str">
        <f t="shared" si="69"/>
        <v/>
      </c>
      <c r="U111" s="1" t="str">
        <f t="shared" si="70"/>
        <v/>
      </c>
      <c r="V111" s="1" t="str">
        <f t="shared" si="71"/>
        <v/>
      </c>
      <c r="W111" s="1" t="str">
        <f t="shared" si="72"/>
        <v/>
      </c>
      <c r="X111" s="1" t="str">
        <f t="shared" si="73"/>
        <v/>
      </c>
      <c r="Y111" s="1" t="str">
        <f t="shared" si="74"/>
        <v/>
      </c>
      <c r="Z111" s="1" t="str">
        <f t="shared" si="75"/>
        <v/>
      </c>
      <c r="AA111" s="1" t="str">
        <f t="shared" si="76"/>
        <v/>
      </c>
      <c r="AB111" s="1" t="str">
        <f t="shared" si="77"/>
        <v/>
      </c>
      <c r="AC111" s="1" t="str">
        <f t="shared" si="78"/>
        <v/>
      </c>
      <c r="AD111" s="1" t="str">
        <f t="shared" si="79"/>
        <v/>
      </c>
    </row>
    <row r="112" spans="3:30">
      <c r="C112" s="1"/>
      <c r="D112" s="1" t="str">
        <f t="shared" si="80"/>
        <v/>
      </c>
      <c r="F112" s="1"/>
      <c r="G112" s="1" t="str">
        <f t="shared" si="63"/>
        <v/>
      </c>
      <c r="H112" s="7" t="str">
        <f t="shared" si="82"/>
        <v/>
      </c>
      <c r="I112"/>
      <c r="J112" s="1" t="str">
        <f t="shared" si="64"/>
        <v/>
      </c>
      <c r="K112" s="1" t="str">
        <f t="shared" si="83"/>
        <v/>
      </c>
      <c r="L112" s="1"/>
      <c r="M112" t="str">
        <f t="shared" si="65"/>
        <v/>
      </c>
      <c r="N112" s="1" t="str">
        <f t="shared" si="81"/>
        <v/>
      </c>
      <c r="Q112" s="1" t="str">
        <f t="shared" si="66"/>
        <v/>
      </c>
      <c r="R112" s="1" t="str">
        <f t="shared" si="67"/>
        <v/>
      </c>
      <c r="S112" s="1" t="str">
        <f t="shared" si="68"/>
        <v/>
      </c>
      <c r="T112" s="1" t="str">
        <f t="shared" si="69"/>
        <v/>
      </c>
      <c r="U112" s="1" t="str">
        <f t="shared" si="70"/>
        <v/>
      </c>
      <c r="V112" s="1" t="str">
        <f t="shared" si="71"/>
        <v/>
      </c>
      <c r="W112" s="1" t="str">
        <f t="shared" si="72"/>
        <v/>
      </c>
      <c r="X112" s="1" t="str">
        <f t="shared" si="73"/>
        <v/>
      </c>
      <c r="Y112" s="1" t="str">
        <f t="shared" si="74"/>
        <v/>
      </c>
      <c r="Z112" s="1" t="str">
        <f t="shared" si="75"/>
        <v/>
      </c>
      <c r="AA112" s="1" t="str">
        <f t="shared" si="76"/>
        <v/>
      </c>
      <c r="AB112" s="1" t="str">
        <f t="shared" si="77"/>
        <v/>
      </c>
      <c r="AC112" s="1" t="str">
        <f t="shared" si="78"/>
        <v/>
      </c>
      <c r="AD112" s="1" t="str">
        <f t="shared" si="79"/>
        <v/>
      </c>
    </row>
    <row r="113" spans="3:30">
      <c r="C113" s="1"/>
      <c r="D113" s="1" t="str">
        <f t="shared" si="80"/>
        <v/>
      </c>
      <c r="F113" s="1"/>
      <c r="G113" s="1" t="str">
        <f t="shared" si="63"/>
        <v/>
      </c>
      <c r="H113" s="7" t="str">
        <f t="shared" si="82"/>
        <v/>
      </c>
      <c r="I113"/>
      <c r="J113" s="1" t="str">
        <f t="shared" si="64"/>
        <v/>
      </c>
      <c r="K113" s="1" t="str">
        <f t="shared" si="83"/>
        <v/>
      </c>
      <c r="L113" s="1"/>
      <c r="M113" t="str">
        <f t="shared" si="65"/>
        <v/>
      </c>
      <c r="N113" s="1" t="str">
        <f t="shared" si="81"/>
        <v/>
      </c>
      <c r="Q113" s="1" t="str">
        <f t="shared" si="66"/>
        <v/>
      </c>
      <c r="R113" s="1" t="str">
        <f t="shared" si="67"/>
        <v/>
      </c>
      <c r="S113" s="1" t="str">
        <f t="shared" si="68"/>
        <v/>
      </c>
      <c r="T113" s="1" t="str">
        <f t="shared" si="69"/>
        <v/>
      </c>
      <c r="U113" s="1" t="str">
        <f t="shared" si="70"/>
        <v/>
      </c>
      <c r="V113" s="1" t="str">
        <f t="shared" si="71"/>
        <v/>
      </c>
      <c r="W113" s="1" t="str">
        <f t="shared" si="72"/>
        <v/>
      </c>
      <c r="X113" s="1" t="str">
        <f t="shared" si="73"/>
        <v/>
      </c>
      <c r="Y113" s="1" t="str">
        <f t="shared" si="74"/>
        <v/>
      </c>
      <c r="Z113" s="1" t="str">
        <f t="shared" si="75"/>
        <v/>
      </c>
      <c r="AA113" s="1" t="str">
        <f t="shared" si="76"/>
        <v/>
      </c>
      <c r="AB113" s="1" t="str">
        <f t="shared" si="77"/>
        <v/>
      </c>
      <c r="AC113" s="1" t="str">
        <f t="shared" si="78"/>
        <v/>
      </c>
      <c r="AD113" s="1" t="str">
        <f t="shared" si="79"/>
        <v/>
      </c>
    </row>
    <row r="114" spans="3:30">
      <c r="C114" s="1"/>
      <c r="D114" s="1" t="str">
        <f t="shared" si="80"/>
        <v/>
      </c>
      <c r="F114" s="1"/>
      <c r="G114" s="1" t="str">
        <f t="shared" si="63"/>
        <v/>
      </c>
      <c r="H114" s="7" t="str">
        <f t="shared" si="82"/>
        <v/>
      </c>
      <c r="I114"/>
      <c r="J114" s="1" t="str">
        <f t="shared" si="64"/>
        <v/>
      </c>
      <c r="K114" s="1" t="str">
        <f t="shared" si="83"/>
        <v/>
      </c>
      <c r="L114" s="1"/>
      <c r="M114" t="str">
        <f t="shared" si="65"/>
        <v/>
      </c>
      <c r="N114" s="1" t="str">
        <f t="shared" si="81"/>
        <v/>
      </c>
      <c r="Q114" s="1" t="str">
        <f t="shared" si="66"/>
        <v/>
      </c>
      <c r="R114" s="1" t="str">
        <f t="shared" si="67"/>
        <v/>
      </c>
      <c r="S114" s="1" t="str">
        <f t="shared" si="68"/>
        <v/>
      </c>
      <c r="T114" s="1" t="str">
        <f t="shared" si="69"/>
        <v/>
      </c>
      <c r="U114" s="1" t="str">
        <f t="shared" si="70"/>
        <v/>
      </c>
      <c r="V114" s="1" t="str">
        <f t="shared" si="71"/>
        <v/>
      </c>
      <c r="W114" s="1" t="str">
        <f t="shared" si="72"/>
        <v/>
      </c>
      <c r="X114" s="1" t="str">
        <f t="shared" si="73"/>
        <v/>
      </c>
      <c r="Y114" s="1" t="str">
        <f t="shared" si="74"/>
        <v/>
      </c>
      <c r="Z114" s="1" t="str">
        <f t="shared" si="75"/>
        <v/>
      </c>
      <c r="AA114" s="1" t="str">
        <f t="shared" si="76"/>
        <v/>
      </c>
      <c r="AB114" s="1" t="str">
        <f t="shared" si="77"/>
        <v/>
      </c>
      <c r="AC114" s="1" t="str">
        <f t="shared" si="78"/>
        <v/>
      </c>
      <c r="AD114" s="1" t="str">
        <f t="shared" si="79"/>
        <v/>
      </c>
    </row>
    <row r="115" spans="3:30">
      <c r="C115" s="1"/>
      <c r="D115" s="1" t="str">
        <f t="shared" si="80"/>
        <v/>
      </c>
      <c r="F115" s="1"/>
      <c r="G115" s="1" t="str">
        <f t="shared" si="63"/>
        <v/>
      </c>
      <c r="H115" s="7" t="str">
        <f t="shared" si="82"/>
        <v/>
      </c>
      <c r="I115"/>
      <c r="J115" s="1" t="str">
        <f t="shared" si="64"/>
        <v/>
      </c>
      <c r="K115" s="1" t="str">
        <f t="shared" si="83"/>
        <v/>
      </c>
      <c r="L115" s="1"/>
      <c r="M115" t="str">
        <f t="shared" si="65"/>
        <v/>
      </c>
      <c r="N115" s="1" t="str">
        <f t="shared" si="81"/>
        <v/>
      </c>
      <c r="Q115" s="1" t="str">
        <f t="shared" si="66"/>
        <v/>
      </c>
      <c r="R115" s="1" t="str">
        <f t="shared" si="67"/>
        <v/>
      </c>
      <c r="S115" s="1" t="str">
        <f t="shared" si="68"/>
        <v/>
      </c>
      <c r="T115" s="1" t="str">
        <f t="shared" si="69"/>
        <v/>
      </c>
      <c r="U115" s="1" t="str">
        <f t="shared" si="70"/>
        <v/>
      </c>
      <c r="V115" s="1" t="str">
        <f t="shared" si="71"/>
        <v/>
      </c>
      <c r="W115" s="1" t="str">
        <f t="shared" si="72"/>
        <v/>
      </c>
      <c r="X115" s="1" t="str">
        <f t="shared" si="73"/>
        <v/>
      </c>
      <c r="Y115" s="1" t="str">
        <f t="shared" si="74"/>
        <v/>
      </c>
      <c r="Z115" s="1" t="str">
        <f t="shared" si="75"/>
        <v/>
      </c>
      <c r="AA115" s="1" t="str">
        <f t="shared" si="76"/>
        <v/>
      </c>
      <c r="AB115" s="1" t="str">
        <f t="shared" si="77"/>
        <v/>
      </c>
      <c r="AC115" s="1" t="str">
        <f t="shared" si="78"/>
        <v/>
      </c>
      <c r="AD115" s="1" t="str">
        <f t="shared" si="79"/>
        <v/>
      </c>
    </row>
    <row r="116" spans="3:30">
      <c r="C116" s="1"/>
      <c r="D116" s="1" t="str">
        <f t="shared" si="80"/>
        <v/>
      </c>
      <c r="F116" s="1"/>
      <c r="G116" s="1" t="str">
        <f t="shared" si="63"/>
        <v/>
      </c>
      <c r="H116" s="7" t="str">
        <f t="shared" si="82"/>
        <v/>
      </c>
      <c r="I116"/>
      <c r="J116" s="1" t="str">
        <f t="shared" si="64"/>
        <v/>
      </c>
      <c r="K116" s="1" t="str">
        <f t="shared" si="83"/>
        <v/>
      </c>
      <c r="L116" s="1"/>
      <c r="M116" t="str">
        <f t="shared" si="65"/>
        <v/>
      </c>
      <c r="N116" s="1" t="str">
        <f t="shared" si="81"/>
        <v/>
      </c>
      <c r="Q116" s="1" t="str">
        <f t="shared" si="66"/>
        <v/>
      </c>
      <c r="R116" s="1" t="str">
        <f t="shared" si="67"/>
        <v/>
      </c>
      <c r="S116" s="1" t="str">
        <f t="shared" si="68"/>
        <v/>
      </c>
      <c r="T116" s="1" t="str">
        <f t="shared" si="69"/>
        <v/>
      </c>
      <c r="U116" s="1" t="str">
        <f t="shared" si="70"/>
        <v/>
      </c>
      <c r="V116" s="1" t="str">
        <f t="shared" si="71"/>
        <v/>
      </c>
      <c r="W116" s="1" t="str">
        <f t="shared" si="72"/>
        <v/>
      </c>
      <c r="X116" s="1" t="str">
        <f t="shared" si="73"/>
        <v/>
      </c>
      <c r="Y116" s="1" t="str">
        <f t="shared" si="74"/>
        <v/>
      </c>
      <c r="Z116" s="1" t="str">
        <f t="shared" si="75"/>
        <v/>
      </c>
      <c r="AA116" s="1" t="str">
        <f t="shared" si="76"/>
        <v/>
      </c>
      <c r="AB116" s="1" t="str">
        <f t="shared" si="77"/>
        <v/>
      </c>
      <c r="AC116" s="1" t="str">
        <f t="shared" si="78"/>
        <v/>
      </c>
      <c r="AD116" s="1" t="str">
        <f t="shared" si="79"/>
        <v/>
      </c>
    </row>
    <row r="117" spans="3:30">
      <c r="C117" s="1"/>
      <c r="D117" s="1" t="str">
        <f t="shared" si="80"/>
        <v/>
      </c>
      <c r="F117" s="1"/>
      <c r="G117" s="1" t="str">
        <f t="shared" si="63"/>
        <v/>
      </c>
      <c r="H117" s="7" t="str">
        <f t="shared" si="82"/>
        <v/>
      </c>
      <c r="I117"/>
      <c r="J117" s="1" t="str">
        <f t="shared" si="64"/>
        <v/>
      </c>
      <c r="K117" s="1" t="str">
        <f t="shared" si="83"/>
        <v/>
      </c>
      <c r="L117" s="1"/>
      <c r="M117" t="str">
        <f t="shared" si="65"/>
        <v/>
      </c>
      <c r="N117" s="1" t="str">
        <f t="shared" si="81"/>
        <v/>
      </c>
      <c r="Q117" s="1" t="str">
        <f t="shared" si="66"/>
        <v/>
      </c>
      <c r="R117" s="1" t="str">
        <f t="shared" si="67"/>
        <v/>
      </c>
      <c r="S117" s="1" t="str">
        <f t="shared" si="68"/>
        <v/>
      </c>
      <c r="T117" s="1" t="str">
        <f t="shared" si="69"/>
        <v/>
      </c>
      <c r="U117" s="1" t="str">
        <f t="shared" si="70"/>
        <v/>
      </c>
      <c r="V117" s="1" t="str">
        <f t="shared" si="71"/>
        <v/>
      </c>
      <c r="W117" s="1" t="str">
        <f t="shared" si="72"/>
        <v/>
      </c>
      <c r="X117" s="1" t="str">
        <f t="shared" si="73"/>
        <v/>
      </c>
      <c r="Y117" s="1" t="str">
        <f t="shared" si="74"/>
        <v/>
      </c>
      <c r="Z117" s="1" t="str">
        <f t="shared" si="75"/>
        <v/>
      </c>
      <c r="AA117" s="1" t="str">
        <f t="shared" si="76"/>
        <v/>
      </c>
      <c r="AB117" s="1" t="str">
        <f t="shared" si="77"/>
        <v/>
      </c>
      <c r="AC117" s="1" t="str">
        <f t="shared" si="78"/>
        <v/>
      </c>
      <c r="AD117" s="1" t="str">
        <f t="shared" si="79"/>
        <v/>
      </c>
    </row>
    <row r="118" spans="3:30">
      <c r="C118" s="1"/>
      <c r="D118" s="1" t="str">
        <f t="shared" si="80"/>
        <v/>
      </c>
      <c r="F118" s="1"/>
      <c r="G118" s="1" t="str">
        <f t="shared" si="63"/>
        <v/>
      </c>
      <c r="H118" s="7" t="str">
        <f t="shared" si="82"/>
        <v/>
      </c>
      <c r="I118"/>
      <c r="J118" s="1" t="str">
        <f t="shared" si="64"/>
        <v/>
      </c>
      <c r="K118" s="1" t="str">
        <f t="shared" si="83"/>
        <v/>
      </c>
      <c r="L118" s="1"/>
      <c r="M118" t="str">
        <f t="shared" si="65"/>
        <v/>
      </c>
      <c r="N118" s="1" t="str">
        <f t="shared" si="81"/>
        <v/>
      </c>
      <c r="Q118" s="1" t="str">
        <f t="shared" si="66"/>
        <v/>
      </c>
      <c r="R118" s="1" t="str">
        <f t="shared" si="67"/>
        <v/>
      </c>
      <c r="S118" s="1" t="str">
        <f t="shared" si="68"/>
        <v/>
      </c>
      <c r="T118" s="1" t="str">
        <f t="shared" si="69"/>
        <v/>
      </c>
      <c r="U118" s="1" t="str">
        <f t="shared" si="70"/>
        <v/>
      </c>
      <c r="V118" s="1" t="str">
        <f t="shared" si="71"/>
        <v/>
      </c>
      <c r="W118" s="1" t="str">
        <f t="shared" si="72"/>
        <v/>
      </c>
      <c r="X118" s="1" t="str">
        <f t="shared" si="73"/>
        <v/>
      </c>
      <c r="Y118" s="1" t="str">
        <f t="shared" si="74"/>
        <v/>
      </c>
      <c r="Z118" s="1" t="str">
        <f t="shared" si="75"/>
        <v/>
      </c>
      <c r="AA118" s="1" t="str">
        <f t="shared" si="76"/>
        <v/>
      </c>
      <c r="AB118" s="1" t="str">
        <f t="shared" si="77"/>
        <v/>
      </c>
      <c r="AC118" s="1" t="str">
        <f t="shared" si="78"/>
        <v/>
      </c>
      <c r="AD118" s="1" t="str">
        <f t="shared" si="79"/>
        <v/>
      </c>
    </row>
    <row r="119" spans="3:30">
      <c r="C119" s="1"/>
      <c r="D119" s="1" t="str">
        <f t="shared" si="80"/>
        <v/>
      </c>
      <c r="F119" s="1"/>
      <c r="G119" s="1" t="str">
        <f t="shared" si="63"/>
        <v/>
      </c>
      <c r="H119" s="7" t="str">
        <f t="shared" si="82"/>
        <v/>
      </c>
      <c r="I119"/>
      <c r="J119" s="1" t="str">
        <f t="shared" si="64"/>
        <v/>
      </c>
      <c r="K119" s="1" t="str">
        <f t="shared" si="83"/>
        <v/>
      </c>
      <c r="L119" s="1"/>
      <c r="M119" t="str">
        <f t="shared" si="65"/>
        <v/>
      </c>
      <c r="N119" s="1" t="str">
        <f t="shared" si="81"/>
        <v/>
      </c>
      <c r="Q119" s="1" t="str">
        <f t="shared" si="66"/>
        <v/>
      </c>
      <c r="R119" s="1" t="str">
        <f t="shared" si="67"/>
        <v/>
      </c>
      <c r="S119" s="1" t="str">
        <f t="shared" si="68"/>
        <v/>
      </c>
      <c r="T119" s="1" t="str">
        <f t="shared" si="69"/>
        <v/>
      </c>
      <c r="U119" s="1" t="str">
        <f t="shared" si="70"/>
        <v/>
      </c>
      <c r="V119" s="1" t="str">
        <f t="shared" si="71"/>
        <v/>
      </c>
      <c r="W119" s="1" t="str">
        <f t="shared" si="72"/>
        <v/>
      </c>
      <c r="X119" s="1" t="str">
        <f t="shared" si="73"/>
        <v/>
      </c>
      <c r="Y119" s="1" t="str">
        <f t="shared" si="74"/>
        <v/>
      </c>
      <c r="Z119" s="1" t="str">
        <f t="shared" si="75"/>
        <v/>
      </c>
      <c r="AA119" s="1" t="str">
        <f t="shared" si="76"/>
        <v/>
      </c>
      <c r="AB119" s="1" t="str">
        <f t="shared" si="77"/>
        <v/>
      </c>
      <c r="AC119" s="1" t="str">
        <f t="shared" si="78"/>
        <v/>
      </c>
      <c r="AD119" s="1" t="str">
        <f t="shared" si="79"/>
        <v/>
      </c>
    </row>
    <row r="120" spans="3:30">
      <c r="C120" s="1"/>
      <c r="D120" s="1" t="str">
        <f t="shared" si="80"/>
        <v/>
      </c>
      <c r="F120" s="1"/>
      <c r="G120" s="1" t="str">
        <f t="shared" si="63"/>
        <v/>
      </c>
      <c r="H120" s="7" t="str">
        <f t="shared" si="82"/>
        <v/>
      </c>
      <c r="I120"/>
      <c r="J120" s="1" t="str">
        <f t="shared" si="64"/>
        <v/>
      </c>
      <c r="K120" s="1" t="str">
        <f t="shared" si="83"/>
        <v/>
      </c>
      <c r="L120" s="1"/>
      <c r="M120" t="str">
        <f t="shared" si="65"/>
        <v/>
      </c>
      <c r="N120" s="1" t="str">
        <f t="shared" si="81"/>
        <v/>
      </c>
      <c r="Q120" s="1" t="str">
        <f t="shared" si="66"/>
        <v/>
      </c>
      <c r="R120" s="1" t="str">
        <f t="shared" si="67"/>
        <v/>
      </c>
      <c r="S120" s="1" t="str">
        <f t="shared" si="68"/>
        <v/>
      </c>
      <c r="T120" s="1" t="str">
        <f t="shared" si="69"/>
        <v/>
      </c>
      <c r="U120" s="1" t="str">
        <f t="shared" si="70"/>
        <v/>
      </c>
      <c r="V120" s="1" t="str">
        <f t="shared" si="71"/>
        <v/>
      </c>
      <c r="W120" s="1" t="str">
        <f t="shared" si="72"/>
        <v/>
      </c>
      <c r="X120" s="1" t="str">
        <f t="shared" si="73"/>
        <v/>
      </c>
      <c r="Y120" s="1" t="str">
        <f t="shared" si="74"/>
        <v/>
      </c>
      <c r="Z120" s="1" t="str">
        <f t="shared" si="75"/>
        <v/>
      </c>
      <c r="AA120" s="1" t="str">
        <f t="shared" si="76"/>
        <v/>
      </c>
      <c r="AB120" s="1" t="str">
        <f t="shared" si="77"/>
        <v/>
      </c>
      <c r="AC120" s="1" t="str">
        <f t="shared" si="78"/>
        <v/>
      </c>
      <c r="AD120" s="1" t="str">
        <f t="shared" si="79"/>
        <v/>
      </c>
    </row>
    <row r="121" spans="3:30">
      <c r="C121" s="1"/>
      <c r="D121" s="1" t="str">
        <f t="shared" si="80"/>
        <v/>
      </c>
      <c r="F121" s="1"/>
      <c r="G121" s="1" t="str">
        <f t="shared" si="63"/>
        <v/>
      </c>
      <c r="H121" s="7" t="str">
        <f t="shared" si="82"/>
        <v/>
      </c>
      <c r="I121"/>
      <c r="J121" s="1" t="str">
        <f t="shared" si="64"/>
        <v/>
      </c>
      <c r="K121" s="1" t="str">
        <f t="shared" si="83"/>
        <v/>
      </c>
      <c r="L121" s="1"/>
      <c r="M121" t="str">
        <f t="shared" si="65"/>
        <v/>
      </c>
      <c r="N121" s="1" t="str">
        <f t="shared" si="81"/>
        <v/>
      </c>
      <c r="Q121" s="1" t="str">
        <f t="shared" si="66"/>
        <v/>
      </c>
      <c r="R121" s="1" t="str">
        <f t="shared" si="67"/>
        <v/>
      </c>
      <c r="S121" s="1" t="str">
        <f t="shared" si="68"/>
        <v/>
      </c>
      <c r="T121" s="1" t="str">
        <f t="shared" si="69"/>
        <v/>
      </c>
      <c r="U121" s="1" t="str">
        <f t="shared" si="70"/>
        <v/>
      </c>
      <c r="V121" s="1" t="str">
        <f t="shared" si="71"/>
        <v/>
      </c>
      <c r="W121" s="1" t="str">
        <f t="shared" si="72"/>
        <v/>
      </c>
      <c r="X121" s="1" t="str">
        <f t="shared" si="73"/>
        <v/>
      </c>
      <c r="Y121" s="1" t="str">
        <f t="shared" si="74"/>
        <v/>
      </c>
      <c r="Z121" s="1" t="str">
        <f t="shared" si="75"/>
        <v/>
      </c>
      <c r="AA121" s="1" t="str">
        <f t="shared" si="76"/>
        <v/>
      </c>
      <c r="AB121" s="1" t="str">
        <f t="shared" si="77"/>
        <v/>
      </c>
      <c r="AC121" s="1" t="str">
        <f t="shared" si="78"/>
        <v/>
      </c>
      <c r="AD121" s="1" t="str">
        <f t="shared" si="79"/>
        <v/>
      </c>
    </row>
    <row r="122" spans="3:30">
      <c r="C122" s="1"/>
      <c r="D122" s="1" t="str">
        <f t="shared" si="80"/>
        <v/>
      </c>
      <c r="F122" s="1"/>
      <c r="G122" s="1" t="str">
        <f t="shared" si="63"/>
        <v/>
      </c>
      <c r="H122" s="7" t="str">
        <f t="shared" si="82"/>
        <v/>
      </c>
      <c r="I122"/>
      <c r="J122" s="1" t="str">
        <f t="shared" si="64"/>
        <v/>
      </c>
      <c r="K122" s="1" t="str">
        <f t="shared" si="83"/>
        <v/>
      </c>
      <c r="L122" s="1"/>
      <c r="M122" t="str">
        <f t="shared" si="65"/>
        <v/>
      </c>
      <c r="N122" s="1" t="str">
        <f t="shared" si="81"/>
        <v/>
      </c>
      <c r="Q122" s="1" t="str">
        <f t="shared" si="66"/>
        <v/>
      </c>
      <c r="R122" s="1" t="str">
        <f t="shared" si="67"/>
        <v/>
      </c>
      <c r="S122" s="1" t="str">
        <f t="shared" si="68"/>
        <v/>
      </c>
      <c r="T122" s="1" t="str">
        <f t="shared" si="69"/>
        <v/>
      </c>
      <c r="U122" s="1" t="str">
        <f t="shared" si="70"/>
        <v/>
      </c>
      <c r="V122" s="1" t="str">
        <f t="shared" si="71"/>
        <v/>
      </c>
      <c r="W122" s="1" t="str">
        <f t="shared" si="72"/>
        <v/>
      </c>
      <c r="X122" s="1" t="str">
        <f t="shared" si="73"/>
        <v/>
      </c>
      <c r="Y122" s="1" t="str">
        <f t="shared" si="74"/>
        <v/>
      </c>
      <c r="Z122" s="1" t="str">
        <f t="shared" si="75"/>
        <v/>
      </c>
      <c r="AA122" s="1" t="str">
        <f t="shared" si="76"/>
        <v/>
      </c>
      <c r="AB122" s="1" t="str">
        <f t="shared" si="77"/>
        <v/>
      </c>
      <c r="AC122" s="1" t="str">
        <f t="shared" si="78"/>
        <v/>
      </c>
      <c r="AD122" s="1" t="str">
        <f t="shared" si="79"/>
        <v/>
      </c>
    </row>
    <row r="123" spans="3:30">
      <c r="C123" s="1"/>
      <c r="D123" s="1" t="str">
        <f t="shared" si="80"/>
        <v/>
      </c>
      <c r="F123" s="1"/>
      <c r="G123" s="1" t="str">
        <f t="shared" si="63"/>
        <v/>
      </c>
      <c r="H123" s="7" t="str">
        <f t="shared" si="82"/>
        <v/>
      </c>
      <c r="I123"/>
      <c r="J123" s="1" t="str">
        <f t="shared" si="64"/>
        <v/>
      </c>
      <c r="K123" s="1" t="str">
        <f t="shared" si="83"/>
        <v/>
      </c>
      <c r="L123" s="1"/>
      <c r="M123" t="str">
        <f t="shared" si="65"/>
        <v/>
      </c>
      <c r="N123" s="1" t="str">
        <f t="shared" si="81"/>
        <v/>
      </c>
      <c r="Q123" s="1" t="str">
        <f t="shared" si="66"/>
        <v/>
      </c>
      <c r="R123" s="1" t="str">
        <f t="shared" si="67"/>
        <v/>
      </c>
      <c r="S123" s="1" t="str">
        <f t="shared" si="68"/>
        <v/>
      </c>
      <c r="T123" s="1" t="str">
        <f t="shared" si="69"/>
        <v/>
      </c>
      <c r="U123" s="1" t="str">
        <f t="shared" si="70"/>
        <v/>
      </c>
      <c r="V123" s="1" t="str">
        <f t="shared" si="71"/>
        <v/>
      </c>
      <c r="W123" s="1" t="str">
        <f t="shared" si="72"/>
        <v/>
      </c>
      <c r="X123" s="1" t="str">
        <f t="shared" si="73"/>
        <v/>
      </c>
      <c r="Y123" s="1" t="str">
        <f t="shared" si="74"/>
        <v/>
      </c>
      <c r="Z123" s="1" t="str">
        <f t="shared" si="75"/>
        <v/>
      </c>
      <c r="AA123" s="1" t="str">
        <f t="shared" si="76"/>
        <v/>
      </c>
      <c r="AB123" s="1" t="str">
        <f t="shared" si="77"/>
        <v/>
      </c>
      <c r="AC123" s="1" t="str">
        <f t="shared" si="78"/>
        <v/>
      </c>
      <c r="AD123" s="1" t="str">
        <f t="shared" si="79"/>
        <v/>
      </c>
    </row>
    <row r="124" spans="3:30">
      <c r="C124" s="1"/>
      <c r="D124" s="1" t="str">
        <f t="shared" si="80"/>
        <v/>
      </c>
      <c r="F124" s="1"/>
      <c r="G124" s="1" t="str">
        <f t="shared" si="63"/>
        <v/>
      </c>
      <c r="H124" s="7" t="str">
        <f t="shared" si="82"/>
        <v/>
      </c>
      <c r="I124"/>
      <c r="J124" s="1" t="str">
        <f t="shared" si="64"/>
        <v/>
      </c>
      <c r="K124" s="1" t="str">
        <f t="shared" si="83"/>
        <v/>
      </c>
      <c r="L124" s="1"/>
      <c r="M124" t="str">
        <f t="shared" si="65"/>
        <v/>
      </c>
      <c r="N124" s="1" t="str">
        <f t="shared" si="81"/>
        <v/>
      </c>
      <c r="Q124" s="1" t="str">
        <f t="shared" si="66"/>
        <v/>
      </c>
      <c r="R124" s="1" t="str">
        <f t="shared" si="67"/>
        <v/>
      </c>
      <c r="S124" s="1" t="str">
        <f t="shared" si="68"/>
        <v/>
      </c>
      <c r="T124" s="1" t="str">
        <f t="shared" si="69"/>
        <v/>
      </c>
      <c r="U124" s="1" t="str">
        <f t="shared" si="70"/>
        <v/>
      </c>
      <c r="V124" s="1" t="str">
        <f t="shared" si="71"/>
        <v/>
      </c>
      <c r="W124" s="1" t="str">
        <f t="shared" si="72"/>
        <v/>
      </c>
      <c r="X124" s="1" t="str">
        <f t="shared" si="73"/>
        <v/>
      </c>
      <c r="Y124" s="1" t="str">
        <f t="shared" si="74"/>
        <v/>
      </c>
      <c r="Z124" s="1" t="str">
        <f t="shared" si="75"/>
        <v/>
      </c>
      <c r="AA124" s="1" t="str">
        <f t="shared" si="76"/>
        <v/>
      </c>
      <c r="AB124" s="1" t="str">
        <f t="shared" si="77"/>
        <v/>
      </c>
      <c r="AC124" s="1" t="str">
        <f t="shared" si="78"/>
        <v/>
      </c>
      <c r="AD124" s="1" t="str">
        <f t="shared" si="79"/>
        <v/>
      </c>
    </row>
    <row r="125" spans="3:30">
      <c r="C125" s="1"/>
      <c r="D125" s="1" t="str">
        <f t="shared" si="80"/>
        <v/>
      </c>
      <c r="F125" s="1"/>
      <c r="G125" s="1" t="str">
        <f t="shared" si="63"/>
        <v/>
      </c>
      <c r="H125" s="7" t="str">
        <f t="shared" si="82"/>
        <v/>
      </c>
      <c r="I125"/>
      <c r="J125" s="1" t="str">
        <f t="shared" si="64"/>
        <v/>
      </c>
      <c r="K125" s="1" t="str">
        <f t="shared" si="83"/>
        <v/>
      </c>
      <c r="L125" s="1"/>
      <c r="M125" t="str">
        <f t="shared" si="65"/>
        <v/>
      </c>
      <c r="N125" s="1" t="str">
        <f t="shared" si="81"/>
        <v/>
      </c>
      <c r="Q125" s="1" t="str">
        <f t="shared" si="66"/>
        <v/>
      </c>
      <c r="R125" s="1" t="str">
        <f t="shared" si="67"/>
        <v/>
      </c>
      <c r="S125" s="1" t="str">
        <f t="shared" si="68"/>
        <v/>
      </c>
      <c r="T125" s="1" t="str">
        <f t="shared" si="69"/>
        <v/>
      </c>
      <c r="U125" s="1" t="str">
        <f t="shared" si="70"/>
        <v/>
      </c>
      <c r="V125" s="1" t="str">
        <f t="shared" si="71"/>
        <v/>
      </c>
      <c r="W125" s="1" t="str">
        <f t="shared" si="72"/>
        <v/>
      </c>
      <c r="X125" s="1" t="str">
        <f t="shared" si="73"/>
        <v/>
      </c>
      <c r="Y125" s="1" t="str">
        <f t="shared" si="74"/>
        <v/>
      </c>
      <c r="Z125" s="1" t="str">
        <f t="shared" si="75"/>
        <v/>
      </c>
      <c r="AA125" s="1" t="str">
        <f t="shared" si="76"/>
        <v/>
      </c>
      <c r="AB125" s="1" t="str">
        <f t="shared" si="77"/>
        <v/>
      </c>
      <c r="AC125" s="1" t="str">
        <f t="shared" si="78"/>
        <v/>
      </c>
      <c r="AD125" s="1" t="str">
        <f t="shared" si="79"/>
        <v/>
      </c>
    </row>
    <row r="126" spans="3:30">
      <c r="C126" s="1"/>
      <c r="D126" s="1" t="str">
        <f t="shared" si="80"/>
        <v/>
      </c>
      <c r="F126" s="1"/>
      <c r="G126" s="1" t="str">
        <f t="shared" si="63"/>
        <v/>
      </c>
      <c r="H126" s="7" t="str">
        <f t="shared" si="82"/>
        <v/>
      </c>
      <c r="I126"/>
      <c r="J126" s="1" t="str">
        <f t="shared" si="64"/>
        <v/>
      </c>
      <c r="K126" s="1" t="str">
        <f t="shared" si="83"/>
        <v/>
      </c>
      <c r="L126" s="1"/>
      <c r="M126" t="str">
        <f t="shared" si="65"/>
        <v/>
      </c>
      <c r="N126" s="1" t="str">
        <f t="shared" si="81"/>
        <v/>
      </c>
      <c r="Q126" s="1" t="str">
        <f t="shared" si="66"/>
        <v/>
      </c>
      <c r="R126" s="1" t="str">
        <f t="shared" si="67"/>
        <v/>
      </c>
      <c r="S126" s="1" t="str">
        <f t="shared" si="68"/>
        <v/>
      </c>
      <c r="T126" s="1" t="str">
        <f t="shared" si="69"/>
        <v/>
      </c>
      <c r="U126" s="1" t="str">
        <f t="shared" si="70"/>
        <v/>
      </c>
      <c r="V126" s="1" t="str">
        <f t="shared" si="71"/>
        <v/>
      </c>
      <c r="W126" s="1" t="str">
        <f t="shared" si="72"/>
        <v/>
      </c>
      <c r="X126" s="1" t="str">
        <f t="shared" si="73"/>
        <v/>
      </c>
      <c r="Y126" s="1" t="str">
        <f t="shared" si="74"/>
        <v/>
      </c>
      <c r="Z126" s="1" t="str">
        <f t="shared" si="75"/>
        <v/>
      </c>
      <c r="AA126" s="1" t="str">
        <f t="shared" si="76"/>
        <v/>
      </c>
      <c r="AB126" s="1" t="str">
        <f t="shared" si="77"/>
        <v/>
      </c>
      <c r="AC126" s="1" t="str">
        <f t="shared" si="78"/>
        <v/>
      </c>
      <c r="AD126" s="1" t="str">
        <f t="shared" si="79"/>
        <v/>
      </c>
    </row>
    <row r="127" spans="3:30">
      <c r="C127" s="1"/>
      <c r="D127" s="1" t="str">
        <f t="shared" si="80"/>
        <v/>
      </c>
      <c r="F127" s="1"/>
      <c r="G127" s="1" t="str">
        <f t="shared" si="63"/>
        <v/>
      </c>
      <c r="H127" s="7" t="str">
        <f t="shared" si="82"/>
        <v/>
      </c>
      <c r="I127"/>
      <c r="J127" s="1" t="str">
        <f t="shared" si="64"/>
        <v/>
      </c>
      <c r="K127" s="1" t="str">
        <f t="shared" si="83"/>
        <v/>
      </c>
      <c r="L127" s="1"/>
      <c r="M127" t="str">
        <f t="shared" si="65"/>
        <v/>
      </c>
      <c r="N127" s="1" t="str">
        <f t="shared" si="81"/>
        <v/>
      </c>
      <c r="Q127" s="1" t="str">
        <f t="shared" si="66"/>
        <v/>
      </c>
      <c r="R127" s="1" t="str">
        <f t="shared" si="67"/>
        <v/>
      </c>
      <c r="S127" s="1" t="str">
        <f t="shared" si="68"/>
        <v/>
      </c>
      <c r="T127" s="1" t="str">
        <f t="shared" si="69"/>
        <v/>
      </c>
      <c r="U127" s="1" t="str">
        <f t="shared" si="70"/>
        <v/>
      </c>
      <c r="V127" s="1" t="str">
        <f t="shared" si="71"/>
        <v/>
      </c>
      <c r="W127" s="1" t="str">
        <f t="shared" si="72"/>
        <v/>
      </c>
      <c r="X127" s="1" t="str">
        <f t="shared" si="73"/>
        <v/>
      </c>
      <c r="Y127" s="1" t="str">
        <f t="shared" si="74"/>
        <v/>
      </c>
      <c r="Z127" s="1" t="str">
        <f t="shared" si="75"/>
        <v/>
      </c>
      <c r="AA127" s="1" t="str">
        <f t="shared" si="76"/>
        <v/>
      </c>
      <c r="AB127" s="1" t="str">
        <f t="shared" si="77"/>
        <v/>
      </c>
      <c r="AC127" s="1" t="str">
        <f t="shared" si="78"/>
        <v/>
      </c>
      <c r="AD127" s="1" t="str">
        <f t="shared" si="79"/>
        <v/>
      </c>
    </row>
    <row r="128" spans="3:30">
      <c r="C128" s="1"/>
      <c r="D128" s="1" t="str">
        <f t="shared" si="80"/>
        <v/>
      </c>
      <c r="F128" s="1"/>
      <c r="G128" s="1" t="str">
        <f t="shared" si="63"/>
        <v/>
      </c>
      <c r="H128" s="7" t="str">
        <f t="shared" si="82"/>
        <v/>
      </c>
      <c r="I128"/>
      <c r="J128" s="1" t="str">
        <f t="shared" si="64"/>
        <v/>
      </c>
      <c r="K128" s="1" t="str">
        <f t="shared" si="83"/>
        <v/>
      </c>
      <c r="L128" s="1"/>
      <c r="M128" t="str">
        <f t="shared" si="65"/>
        <v/>
      </c>
      <c r="N128" s="1" t="str">
        <f t="shared" si="81"/>
        <v/>
      </c>
      <c r="Q128" s="1" t="str">
        <f t="shared" si="66"/>
        <v/>
      </c>
      <c r="R128" s="1" t="str">
        <f t="shared" si="67"/>
        <v/>
      </c>
      <c r="S128" s="1" t="str">
        <f t="shared" si="68"/>
        <v/>
      </c>
      <c r="T128" s="1" t="str">
        <f t="shared" si="69"/>
        <v/>
      </c>
      <c r="U128" s="1" t="str">
        <f t="shared" si="70"/>
        <v/>
      </c>
      <c r="V128" s="1" t="str">
        <f t="shared" si="71"/>
        <v/>
      </c>
      <c r="W128" s="1" t="str">
        <f t="shared" si="72"/>
        <v/>
      </c>
      <c r="X128" s="1" t="str">
        <f t="shared" si="73"/>
        <v/>
      </c>
      <c r="Y128" s="1" t="str">
        <f t="shared" si="74"/>
        <v/>
      </c>
      <c r="Z128" s="1" t="str">
        <f t="shared" si="75"/>
        <v/>
      </c>
      <c r="AA128" s="1" t="str">
        <f t="shared" si="76"/>
        <v/>
      </c>
      <c r="AB128" s="1" t="str">
        <f t="shared" si="77"/>
        <v/>
      </c>
      <c r="AC128" s="1" t="str">
        <f t="shared" si="78"/>
        <v/>
      </c>
      <c r="AD128" s="1" t="str">
        <f t="shared" si="79"/>
        <v/>
      </c>
    </row>
    <row r="129" spans="3:30">
      <c r="C129" s="1"/>
      <c r="D129" s="1" t="str">
        <f t="shared" si="80"/>
        <v/>
      </c>
      <c r="F129" s="1"/>
      <c r="G129" s="1" t="str">
        <f t="shared" si="63"/>
        <v/>
      </c>
      <c r="H129" s="7" t="str">
        <f t="shared" si="82"/>
        <v/>
      </c>
      <c r="I129"/>
      <c r="J129" s="1" t="str">
        <f t="shared" si="64"/>
        <v/>
      </c>
      <c r="K129" s="1" t="str">
        <f t="shared" si="83"/>
        <v/>
      </c>
      <c r="L129" s="1"/>
      <c r="M129" t="str">
        <f t="shared" si="65"/>
        <v/>
      </c>
      <c r="N129" s="1" t="str">
        <f t="shared" si="81"/>
        <v/>
      </c>
      <c r="Q129" s="1" t="str">
        <f t="shared" si="66"/>
        <v/>
      </c>
      <c r="R129" s="1" t="str">
        <f t="shared" si="67"/>
        <v/>
      </c>
      <c r="S129" s="1" t="str">
        <f t="shared" si="68"/>
        <v/>
      </c>
      <c r="T129" s="1" t="str">
        <f t="shared" si="69"/>
        <v/>
      </c>
      <c r="U129" s="1" t="str">
        <f t="shared" si="70"/>
        <v/>
      </c>
      <c r="V129" s="1" t="str">
        <f t="shared" si="71"/>
        <v/>
      </c>
      <c r="W129" s="1" t="str">
        <f t="shared" si="72"/>
        <v/>
      </c>
      <c r="X129" s="1" t="str">
        <f t="shared" si="73"/>
        <v/>
      </c>
      <c r="Y129" s="1" t="str">
        <f t="shared" si="74"/>
        <v/>
      </c>
      <c r="Z129" s="1" t="str">
        <f t="shared" si="75"/>
        <v/>
      </c>
      <c r="AA129" s="1" t="str">
        <f t="shared" si="76"/>
        <v/>
      </c>
      <c r="AB129" s="1" t="str">
        <f t="shared" si="77"/>
        <v/>
      </c>
      <c r="AC129" s="1" t="str">
        <f t="shared" si="78"/>
        <v/>
      </c>
      <c r="AD129" s="1" t="str">
        <f t="shared" si="79"/>
        <v/>
      </c>
    </row>
    <row r="130" spans="3:30">
      <c r="C130" s="1"/>
      <c r="D130" s="1" t="str">
        <f t="shared" si="80"/>
        <v/>
      </c>
      <c r="F130" s="1"/>
      <c r="G130" s="1" t="str">
        <f t="shared" si="63"/>
        <v/>
      </c>
      <c r="H130" s="7" t="str">
        <f t="shared" si="82"/>
        <v/>
      </c>
      <c r="I130"/>
      <c r="J130" s="1" t="str">
        <f t="shared" si="64"/>
        <v/>
      </c>
      <c r="K130" s="1" t="str">
        <f t="shared" si="83"/>
        <v/>
      </c>
      <c r="L130" s="1"/>
      <c r="M130" t="str">
        <f t="shared" si="65"/>
        <v/>
      </c>
      <c r="N130" s="1" t="str">
        <f t="shared" si="81"/>
        <v/>
      </c>
      <c r="Q130" s="1" t="str">
        <f t="shared" si="66"/>
        <v/>
      </c>
      <c r="R130" s="1" t="str">
        <f t="shared" si="67"/>
        <v/>
      </c>
      <c r="S130" s="1" t="str">
        <f t="shared" si="68"/>
        <v/>
      </c>
      <c r="T130" s="1" t="str">
        <f t="shared" si="69"/>
        <v/>
      </c>
      <c r="U130" s="1" t="str">
        <f t="shared" si="70"/>
        <v/>
      </c>
      <c r="V130" s="1" t="str">
        <f t="shared" si="71"/>
        <v/>
      </c>
      <c r="W130" s="1" t="str">
        <f t="shared" si="72"/>
        <v/>
      </c>
      <c r="X130" s="1" t="str">
        <f t="shared" si="73"/>
        <v/>
      </c>
      <c r="Y130" s="1" t="str">
        <f t="shared" si="74"/>
        <v/>
      </c>
      <c r="Z130" s="1" t="str">
        <f t="shared" si="75"/>
        <v/>
      </c>
      <c r="AA130" s="1" t="str">
        <f t="shared" si="76"/>
        <v/>
      </c>
      <c r="AB130" s="1" t="str">
        <f t="shared" si="77"/>
        <v/>
      </c>
      <c r="AC130" s="1" t="str">
        <f t="shared" si="78"/>
        <v/>
      </c>
      <c r="AD130" s="1" t="str">
        <f t="shared" si="79"/>
        <v/>
      </c>
    </row>
    <row r="131" spans="3:30">
      <c r="C131" s="1"/>
      <c r="D131" s="1" t="str">
        <f t="shared" si="80"/>
        <v/>
      </c>
      <c r="F131" s="1"/>
      <c r="G131" s="1" t="str">
        <f t="shared" si="63"/>
        <v/>
      </c>
      <c r="H131" s="7" t="str">
        <f t="shared" si="82"/>
        <v/>
      </c>
      <c r="I131"/>
      <c r="J131" s="1" t="str">
        <f t="shared" si="64"/>
        <v/>
      </c>
      <c r="K131" s="1" t="str">
        <f t="shared" si="83"/>
        <v/>
      </c>
      <c r="L131" s="1"/>
      <c r="M131" t="str">
        <f t="shared" si="65"/>
        <v/>
      </c>
      <c r="N131" s="1" t="str">
        <f t="shared" si="81"/>
        <v/>
      </c>
      <c r="Q131" s="1" t="str">
        <f t="shared" si="66"/>
        <v/>
      </c>
      <c r="R131" s="1" t="str">
        <f t="shared" si="67"/>
        <v/>
      </c>
      <c r="S131" s="1" t="str">
        <f t="shared" si="68"/>
        <v/>
      </c>
      <c r="T131" s="1" t="str">
        <f t="shared" si="69"/>
        <v/>
      </c>
      <c r="U131" s="1" t="str">
        <f t="shared" si="70"/>
        <v/>
      </c>
      <c r="V131" s="1" t="str">
        <f t="shared" si="71"/>
        <v/>
      </c>
      <c r="W131" s="1" t="str">
        <f t="shared" si="72"/>
        <v/>
      </c>
      <c r="X131" s="1" t="str">
        <f t="shared" si="73"/>
        <v/>
      </c>
      <c r="Y131" s="1" t="str">
        <f t="shared" si="74"/>
        <v/>
      </c>
      <c r="Z131" s="1" t="str">
        <f t="shared" si="75"/>
        <v/>
      </c>
      <c r="AA131" s="1" t="str">
        <f t="shared" si="76"/>
        <v/>
      </c>
      <c r="AB131" s="1" t="str">
        <f t="shared" si="77"/>
        <v/>
      </c>
      <c r="AC131" s="1" t="str">
        <f t="shared" si="78"/>
        <v/>
      </c>
      <c r="AD131" s="1" t="str">
        <f t="shared" si="79"/>
        <v/>
      </c>
    </row>
    <row r="132" spans="3:30">
      <c r="C132" s="1"/>
      <c r="D132" s="1" t="str">
        <f t="shared" si="80"/>
        <v/>
      </c>
      <c r="F132" s="1"/>
      <c r="G132" s="1" t="str">
        <f t="shared" si="63"/>
        <v/>
      </c>
      <c r="H132" s="7" t="str">
        <f t="shared" si="82"/>
        <v/>
      </c>
      <c r="I132"/>
      <c r="J132" s="1" t="str">
        <f t="shared" si="64"/>
        <v/>
      </c>
      <c r="K132" s="1" t="str">
        <f t="shared" si="83"/>
        <v/>
      </c>
      <c r="L132" s="1"/>
      <c r="M132" t="str">
        <f t="shared" si="65"/>
        <v/>
      </c>
      <c r="N132" s="1" t="str">
        <f t="shared" si="81"/>
        <v/>
      </c>
      <c r="Q132" s="1" t="str">
        <f t="shared" si="66"/>
        <v/>
      </c>
      <c r="R132" s="1" t="str">
        <f t="shared" si="67"/>
        <v/>
      </c>
      <c r="S132" s="1" t="str">
        <f t="shared" si="68"/>
        <v/>
      </c>
      <c r="T132" s="1" t="str">
        <f t="shared" si="69"/>
        <v/>
      </c>
      <c r="U132" s="1" t="str">
        <f t="shared" si="70"/>
        <v/>
      </c>
      <c r="V132" s="1" t="str">
        <f t="shared" si="71"/>
        <v/>
      </c>
      <c r="W132" s="1" t="str">
        <f t="shared" si="72"/>
        <v/>
      </c>
      <c r="X132" s="1" t="str">
        <f t="shared" si="73"/>
        <v/>
      </c>
      <c r="Y132" s="1" t="str">
        <f t="shared" si="74"/>
        <v/>
      </c>
      <c r="Z132" s="1" t="str">
        <f t="shared" si="75"/>
        <v/>
      </c>
      <c r="AA132" s="1" t="str">
        <f t="shared" si="76"/>
        <v/>
      </c>
      <c r="AB132" s="1" t="str">
        <f t="shared" si="77"/>
        <v/>
      </c>
      <c r="AC132" s="1" t="str">
        <f t="shared" si="78"/>
        <v/>
      </c>
      <c r="AD132" s="1" t="str">
        <f t="shared" si="79"/>
        <v/>
      </c>
    </row>
    <row r="133" spans="3:30">
      <c r="C133" s="1"/>
      <c r="D133" s="1" t="str">
        <f t="shared" si="80"/>
        <v/>
      </c>
      <c r="F133" s="1"/>
      <c r="G133" s="1" t="str">
        <f t="shared" si="63"/>
        <v/>
      </c>
      <c r="H133" s="7" t="str">
        <f t="shared" si="82"/>
        <v/>
      </c>
      <c r="I133"/>
      <c r="J133" s="1" t="str">
        <f t="shared" si="64"/>
        <v/>
      </c>
      <c r="K133" s="1" t="str">
        <f t="shared" si="83"/>
        <v/>
      </c>
      <c r="L133" s="1"/>
      <c r="M133" t="str">
        <f t="shared" si="65"/>
        <v/>
      </c>
      <c r="N133" s="1" t="str">
        <f t="shared" si="81"/>
        <v/>
      </c>
      <c r="Q133" s="1" t="str">
        <f t="shared" si="66"/>
        <v/>
      </c>
      <c r="R133" s="1" t="str">
        <f t="shared" si="67"/>
        <v/>
      </c>
      <c r="S133" s="1" t="str">
        <f t="shared" si="68"/>
        <v/>
      </c>
      <c r="T133" s="1" t="str">
        <f t="shared" si="69"/>
        <v/>
      </c>
      <c r="U133" s="1" t="str">
        <f t="shared" si="70"/>
        <v/>
      </c>
      <c r="V133" s="1" t="str">
        <f t="shared" si="71"/>
        <v/>
      </c>
      <c r="W133" s="1" t="str">
        <f t="shared" si="72"/>
        <v/>
      </c>
      <c r="X133" s="1" t="str">
        <f t="shared" si="73"/>
        <v/>
      </c>
      <c r="Y133" s="1" t="str">
        <f t="shared" si="74"/>
        <v/>
      </c>
      <c r="Z133" s="1" t="str">
        <f t="shared" si="75"/>
        <v/>
      </c>
      <c r="AA133" s="1" t="str">
        <f t="shared" si="76"/>
        <v/>
      </c>
      <c r="AB133" s="1" t="str">
        <f t="shared" si="77"/>
        <v/>
      </c>
      <c r="AC133" s="1" t="str">
        <f t="shared" si="78"/>
        <v/>
      </c>
      <c r="AD133" s="1" t="str">
        <f t="shared" si="79"/>
        <v/>
      </c>
    </row>
    <row r="134" spans="3:30">
      <c r="C134" s="1"/>
      <c r="D134" s="1" t="str">
        <f t="shared" si="80"/>
        <v/>
      </c>
      <c r="F134" s="1"/>
      <c r="G134" s="1" t="str">
        <f t="shared" ref="G134:G165" si="84">IF($A134="","",1)</f>
        <v/>
      </c>
      <c r="H134" s="7" t="str">
        <f t="shared" si="82"/>
        <v/>
      </c>
      <c r="I134"/>
      <c r="J134" s="1" t="str">
        <f t="shared" ref="J134:J165" si="85">IF($A134="","",0)</f>
        <v/>
      </c>
      <c r="K134" s="1" t="str">
        <f t="shared" si="83"/>
        <v/>
      </c>
      <c r="L134" s="1"/>
      <c r="M134" t="str">
        <f t="shared" ref="M134:M165" si="86">IF(L134=1,1,IF(L134="","",0))</f>
        <v/>
      </c>
      <c r="N134" s="1" t="str">
        <f t="shared" si="81"/>
        <v/>
      </c>
      <c r="Q134" s="1" t="str">
        <f t="shared" ref="Q134:Q165" si="87">IF($A134="","",0)</f>
        <v/>
      </c>
      <c r="R134" s="1" t="str">
        <f t="shared" ref="R134:R165" si="88">IF($A134="","",-1)</f>
        <v/>
      </c>
      <c r="S134" s="1" t="str">
        <f t="shared" ref="S134:S165" si="89">IF($A134="","",-1)</f>
        <v/>
      </c>
      <c r="T134" s="1" t="str">
        <f t="shared" ref="T134:T165" si="90">IF($A134="","",1400)</f>
        <v/>
      </c>
      <c r="U134" s="1" t="str">
        <f t="shared" ref="U134:U165" si="91">IF($A134="","",0)</f>
        <v/>
      </c>
      <c r="V134" s="1" t="str">
        <f t="shared" ref="V134:V165" si="92">IF($A134="","",-1)</f>
        <v/>
      </c>
      <c r="W134" s="1" t="str">
        <f t="shared" ref="W134:W165" si="93">IF($A134="","",-1)</f>
        <v/>
      </c>
      <c r="X134" s="1" t="str">
        <f t="shared" ref="X134:X165" si="94">IF($A134="","",1)</f>
        <v/>
      </c>
      <c r="Y134" s="1" t="str">
        <f t="shared" ref="Y134:Y165" si="95">IF($A134="","",-1)</f>
        <v/>
      </c>
      <c r="Z134" s="1" t="str">
        <f t="shared" ref="Z134:Z165" si="96">IF($A134="","",-1)</f>
        <v/>
      </c>
      <c r="AA134" s="1" t="str">
        <f t="shared" ref="AA134:AA165" si="97">IF($A134="","",-1)</f>
        <v/>
      </c>
      <c r="AB134" s="1" t="str">
        <f t="shared" ref="AB134:AB165" si="98">IF($A134="","",-1)</f>
        <v/>
      </c>
      <c r="AC134" s="1" t="str">
        <f t="shared" ref="AC134:AC165" si="99">IF($A134="","",-1)</f>
        <v/>
      </c>
      <c r="AD134" s="1" t="str">
        <f t="shared" ref="AD134:AD165" si="100">IF($A134="","",1)</f>
        <v/>
      </c>
    </row>
    <row r="135" spans="3:30">
      <c r="C135" s="1"/>
      <c r="D135" s="1" t="str">
        <f t="shared" ref="D135:D166" si="101">IF($A135="","",-1)</f>
        <v/>
      </c>
      <c r="F135" s="1"/>
      <c r="G135" s="1" t="str">
        <f t="shared" si="84"/>
        <v/>
      </c>
      <c r="H135" s="7" t="str">
        <f t="shared" si="82"/>
        <v/>
      </c>
      <c r="I135"/>
      <c r="J135" s="1" t="str">
        <f t="shared" si="85"/>
        <v/>
      </c>
      <c r="K135" s="1" t="str">
        <f t="shared" si="83"/>
        <v/>
      </c>
      <c r="L135" s="1"/>
      <c r="M135" t="str">
        <f t="shared" si="86"/>
        <v/>
      </c>
      <c r="N135" s="1" t="str">
        <f t="shared" ref="N135:N166" si="102">IF(L135=1,0,IF(L135="","",1))</f>
        <v/>
      </c>
      <c r="Q135" s="1" t="str">
        <f t="shared" si="87"/>
        <v/>
      </c>
      <c r="R135" s="1" t="str">
        <f t="shared" si="88"/>
        <v/>
      </c>
      <c r="S135" s="1" t="str">
        <f t="shared" si="89"/>
        <v/>
      </c>
      <c r="T135" s="1" t="str">
        <f t="shared" si="90"/>
        <v/>
      </c>
      <c r="U135" s="1" t="str">
        <f t="shared" si="91"/>
        <v/>
      </c>
      <c r="V135" s="1" t="str">
        <f t="shared" si="92"/>
        <v/>
      </c>
      <c r="W135" s="1" t="str">
        <f t="shared" si="93"/>
        <v/>
      </c>
      <c r="X135" s="1" t="str">
        <f t="shared" si="94"/>
        <v/>
      </c>
      <c r="Y135" s="1" t="str">
        <f t="shared" si="95"/>
        <v/>
      </c>
      <c r="Z135" s="1" t="str">
        <f t="shared" si="96"/>
        <v/>
      </c>
      <c r="AA135" s="1" t="str">
        <f t="shared" si="97"/>
        <v/>
      </c>
      <c r="AB135" s="1" t="str">
        <f t="shared" si="98"/>
        <v/>
      </c>
      <c r="AC135" s="1" t="str">
        <f t="shared" si="99"/>
        <v/>
      </c>
      <c r="AD135" s="1" t="str">
        <f t="shared" si="100"/>
        <v/>
      </c>
    </row>
    <row r="136" spans="3:30">
      <c r="C136" s="1"/>
      <c r="D136" s="1" t="str">
        <f t="shared" si="101"/>
        <v/>
      </c>
      <c r="F136" s="1"/>
      <c r="G136" s="1" t="str">
        <f t="shared" si="84"/>
        <v/>
      </c>
      <c r="H136" s="7" t="str">
        <f t="shared" si="82"/>
        <v/>
      </c>
      <c r="I136"/>
      <c r="J136" s="1" t="str">
        <f t="shared" si="85"/>
        <v/>
      </c>
      <c r="K136" s="1" t="str">
        <f t="shared" si="83"/>
        <v/>
      </c>
      <c r="L136" s="1"/>
      <c r="M136" t="str">
        <f t="shared" si="86"/>
        <v/>
      </c>
      <c r="N136" s="1" t="str">
        <f t="shared" si="102"/>
        <v/>
      </c>
      <c r="Q136" s="1" t="str">
        <f t="shared" si="87"/>
        <v/>
      </c>
      <c r="R136" s="1" t="str">
        <f t="shared" si="88"/>
        <v/>
      </c>
      <c r="S136" s="1" t="str">
        <f t="shared" si="89"/>
        <v/>
      </c>
      <c r="T136" s="1" t="str">
        <f t="shared" si="90"/>
        <v/>
      </c>
      <c r="U136" s="1" t="str">
        <f t="shared" si="91"/>
        <v/>
      </c>
      <c r="V136" s="1" t="str">
        <f t="shared" si="92"/>
        <v/>
      </c>
      <c r="W136" s="1" t="str">
        <f t="shared" si="93"/>
        <v/>
      </c>
      <c r="X136" s="1" t="str">
        <f t="shared" si="94"/>
        <v/>
      </c>
      <c r="Y136" s="1" t="str">
        <f t="shared" si="95"/>
        <v/>
      </c>
      <c r="Z136" s="1" t="str">
        <f t="shared" si="96"/>
        <v/>
      </c>
      <c r="AA136" s="1" t="str">
        <f t="shared" si="97"/>
        <v/>
      </c>
      <c r="AB136" s="1" t="str">
        <f t="shared" si="98"/>
        <v/>
      </c>
      <c r="AC136" s="1" t="str">
        <f t="shared" si="99"/>
        <v/>
      </c>
      <c r="AD136" s="1" t="str">
        <f t="shared" si="100"/>
        <v/>
      </c>
    </row>
    <row r="137" spans="3:30">
      <c r="C137" s="1"/>
      <c r="D137" s="1" t="str">
        <f t="shared" si="101"/>
        <v/>
      </c>
      <c r="F137" s="1"/>
      <c r="G137" s="1" t="str">
        <f t="shared" si="84"/>
        <v/>
      </c>
      <c r="H137" s="7" t="str">
        <f t="shared" si="82"/>
        <v/>
      </c>
      <c r="I137"/>
      <c r="J137" s="1" t="str">
        <f t="shared" si="85"/>
        <v/>
      </c>
      <c r="K137" s="1" t="str">
        <f t="shared" si="83"/>
        <v/>
      </c>
      <c r="L137" s="1"/>
      <c r="M137" t="str">
        <f t="shared" si="86"/>
        <v/>
      </c>
      <c r="N137" s="1" t="str">
        <f t="shared" si="102"/>
        <v/>
      </c>
      <c r="Q137" s="1" t="str">
        <f t="shared" si="87"/>
        <v/>
      </c>
      <c r="R137" s="1" t="str">
        <f t="shared" si="88"/>
        <v/>
      </c>
      <c r="S137" s="1" t="str">
        <f t="shared" si="89"/>
        <v/>
      </c>
      <c r="T137" s="1" t="str">
        <f t="shared" si="90"/>
        <v/>
      </c>
      <c r="U137" s="1" t="str">
        <f t="shared" si="91"/>
        <v/>
      </c>
      <c r="V137" s="1" t="str">
        <f t="shared" si="92"/>
        <v/>
      </c>
      <c r="W137" s="1" t="str">
        <f t="shared" si="93"/>
        <v/>
      </c>
      <c r="X137" s="1" t="str">
        <f t="shared" si="94"/>
        <v/>
      </c>
      <c r="Y137" s="1" t="str">
        <f t="shared" si="95"/>
        <v/>
      </c>
      <c r="Z137" s="1" t="str">
        <f t="shared" si="96"/>
        <v/>
      </c>
      <c r="AA137" s="1" t="str">
        <f t="shared" si="97"/>
        <v/>
      </c>
      <c r="AB137" s="1" t="str">
        <f t="shared" si="98"/>
        <v/>
      </c>
      <c r="AC137" s="1" t="str">
        <f t="shared" si="99"/>
        <v/>
      </c>
      <c r="AD137" s="1" t="str">
        <f t="shared" si="100"/>
        <v/>
      </c>
    </row>
    <row r="138" spans="3:30">
      <c r="C138" s="1"/>
      <c r="D138" s="1" t="str">
        <f t="shared" si="101"/>
        <v/>
      </c>
      <c r="F138" s="1"/>
      <c r="G138" s="1" t="str">
        <f t="shared" si="84"/>
        <v/>
      </c>
      <c r="H138" s="7" t="str">
        <f t="shared" si="82"/>
        <v/>
      </c>
      <c r="I138"/>
      <c r="J138" s="1" t="str">
        <f t="shared" si="85"/>
        <v/>
      </c>
      <c r="K138" s="1" t="str">
        <f t="shared" si="83"/>
        <v/>
      </c>
      <c r="L138" s="1"/>
      <c r="M138" t="str">
        <f t="shared" si="86"/>
        <v/>
      </c>
      <c r="N138" s="1" t="str">
        <f t="shared" si="102"/>
        <v/>
      </c>
      <c r="Q138" s="1" t="str">
        <f t="shared" si="87"/>
        <v/>
      </c>
      <c r="R138" s="1" t="str">
        <f t="shared" si="88"/>
        <v/>
      </c>
      <c r="S138" s="1" t="str">
        <f t="shared" si="89"/>
        <v/>
      </c>
      <c r="T138" s="1" t="str">
        <f t="shared" si="90"/>
        <v/>
      </c>
      <c r="U138" s="1" t="str">
        <f t="shared" si="91"/>
        <v/>
      </c>
      <c r="V138" s="1" t="str">
        <f t="shared" si="92"/>
        <v/>
      </c>
      <c r="W138" s="1" t="str">
        <f t="shared" si="93"/>
        <v/>
      </c>
      <c r="X138" s="1" t="str">
        <f t="shared" si="94"/>
        <v/>
      </c>
      <c r="Y138" s="1" t="str">
        <f t="shared" si="95"/>
        <v/>
      </c>
      <c r="Z138" s="1" t="str">
        <f t="shared" si="96"/>
        <v/>
      </c>
      <c r="AA138" s="1" t="str">
        <f t="shared" si="97"/>
        <v/>
      </c>
      <c r="AB138" s="1" t="str">
        <f t="shared" si="98"/>
        <v/>
      </c>
      <c r="AC138" s="1" t="str">
        <f t="shared" si="99"/>
        <v/>
      </c>
      <c r="AD138" s="1" t="str">
        <f t="shared" si="100"/>
        <v/>
      </c>
    </row>
    <row r="139" spans="3:30">
      <c r="C139" s="1"/>
      <c r="D139" s="1" t="str">
        <f t="shared" si="101"/>
        <v/>
      </c>
      <c r="F139" s="1"/>
      <c r="G139" s="1" t="str">
        <f t="shared" si="84"/>
        <v/>
      </c>
      <c r="H139" s="7" t="str">
        <f t="shared" ref="H139:H170" si="103">IF($A139="","",4)</f>
        <v/>
      </c>
      <c r="I139"/>
      <c r="J139" s="1" t="str">
        <f t="shared" si="85"/>
        <v/>
      </c>
      <c r="K139" s="1" t="str">
        <f t="shared" ref="K139:K170" si="104">IF($A139="","",0)</f>
        <v/>
      </c>
      <c r="L139" s="1"/>
      <c r="M139" t="str">
        <f t="shared" si="86"/>
        <v/>
      </c>
      <c r="N139" s="1" t="str">
        <f t="shared" si="102"/>
        <v/>
      </c>
      <c r="Q139" s="1" t="str">
        <f t="shared" si="87"/>
        <v/>
      </c>
      <c r="R139" s="1" t="str">
        <f t="shared" si="88"/>
        <v/>
      </c>
      <c r="S139" s="1" t="str">
        <f t="shared" si="89"/>
        <v/>
      </c>
      <c r="T139" s="1" t="str">
        <f t="shared" si="90"/>
        <v/>
      </c>
      <c r="U139" s="1" t="str">
        <f t="shared" si="91"/>
        <v/>
      </c>
      <c r="V139" s="1" t="str">
        <f t="shared" si="92"/>
        <v/>
      </c>
      <c r="W139" s="1" t="str">
        <f t="shared" si="93"/>
        <v/>
      </c>
      <c r="X139" s="1" t="str">
        <f t="shared" si="94"/>
        <v/>
      </c>
      <c r="Y139" s="1" t="str">
        <f t="shared" si="95"/>
        <v/>
      </c>
      <c r="Z139" s="1" t="str">
        <f t="shared" si="96"/>
        <v/>
      </c>
      <c r="AA139" s="1" t="str">
        <f t="shared" si="97"/>
        <v/>
      </c>
      <c r="AB139" s="1" t="str">
        <f t="shared" si="98"/>
        <v/>
      </c>
      <c r="AC139" s="1" t="str">
        <f t="shared" si="99"/>
        <v/>
      </c>
      <c r="AD139" s="1" t="str">
        <f t="shared" si="100"/>
        <v/>
      </c>
    </row>
    <row r="140" spans="3:30">
      <c r="C140" s="1"/>
      <c r="D140" s="1" t="str">
        <f t="shared" si="101"/>
        <v/>
      </c>
      <c r="F140" s="1"/>
      <c r="G140" s="1" t="str">
        <f t="shared" si="84"/>
        <v/>
      </c>
      <c r="H140" s="7" t="str">
        <f t="shared" si="103"/>
        <v/>
      </c>
      <c r="I140"/>
      <c r="J140" s="1" t="str">
        <f t="shared" si="85"/>
        <v/>
      </c>
      <c r="K140" s="1" t="str">
        <f t="shared" si="104"/>
        <v/>
      </c>
      <c r="L140" s="1"/>
      <c r="M140" t="str">
        <f t="shared" si="86"/>
        <v/>
      </c>
      <c r="N140" s="1" t="str">
        <f t="shared" si="102"/>
        <v/>
      </c>
      <c r="Q140" s="1" t="str">
        <f t="shared" si="87"/>
        <v/>
      </c>
      <c r="R140" s="1" t="str">
        <f t="shared" si="88"/>
        <v/>
      </c>
      <c r="S140" s="1" t="str">
        <f t="shared" si="89"/>
        <v/>
      </c>
      <c r="T140" s="1" t="str">
        <f t="shared" si="90"/>
        <v/>
      </c>
      <c r="U140" s="1" t="str">
        <f t="shared" si="91"/>
        <v/>
      </c>
      <c r="V140" s="1" t="str">
        <f t="shared" si="92"/>
        <v/>
      </c>
      <c r="W140" s="1" t="str">
        <f t="shared" si="93"/>
        <v/>
      </c>
      <c r="X140" s="1" t="str">
        <f t="shared" si="94"/>
        <v/>
      </c>
      <c r="Y140" s="1" t="str">
        <f t="shared" si="95"/>
        <v/>
      </c>
      <c r="Z140" s="1" t="str">
        <f t="shared" si="96"/>
        <v/>
      </c>
      <c r="AA140" s="1" t="str">
        <f t="shared" si="97"/>
        <v/>
      </c>
      <c r="AB140" s="1" t="str">
        <f t="shared" si="98"/>
        <v/>
      </c>
      <c r="AC140" s="1" t="str">
        <f t="shared" si="99"/>
        <v/>
      </c>
      <c r="AD140" s="1" t="str">
        <f t="shared" si="100"/>
        <v/>
      </c>
    </row>
    <row r="141" spans="3:30">
      <c r="C141" s="1"/>
      <c r="D141" s="1" t="str">
        <f t="shared" si="101"/>
        <v/>
      </c>
      <c r="F141" s="1"/>
      <c r="G141" s="1" t="str">
        <f t="shared" si="84"/>
        <v/>
      </c>
      <c r="H141" s="7" t="str">
        <f t="shared" si="103"/>
        <v/>
      </c>
      <c r="I141"/>
      <c r="J141" s="1" t="str">
        <f t="shared" si="85"/>
        <v/>
      </c>
      <c r="K141" s="1" t="str">
        <f t="shared" si="104"/>
        <v/>
      </c>
      <c r="L141" s="1"/>
      <c r="M141" t="str">
        <f t="shared" si="86"/>
        <v/>
      </c>
      <c r="N141" s="1" t="str">
        <f t="shared" si="102"/>
        <v/>
      </c>
      <c r="Q141" s="1" t="str">
        <f t="shared" si="87"/>
        <v/>
      </c>
      <c r="R141" s="1" t="str">
        <f t="shared" si="88"/>
        <v/>
      </c>
      <c r="S141" s="1" t="str">
        <f t="shared" si="89"/>
        <v/>
      </c>
      <c r="T141" s="1" t="str">
        <f t="shared" si="90"/>
        <v/>
      </c>
      <c r="U141" s="1" t="str">
        <f t="shared" si="91"/>
        <v/>
      </c>
      <c r="V141" s="1" t="str">
        <f t="shared" si="92"/>
        <v/>
      </c>
      <c r="W141" s="1" t="str">
        <f t="shared" si="93"/>
        <v/>
      </c>
      <c r="X141" s="1" t="str">
        <f t="shared" si="94"/>
        <v/>
      </c>
      <c r="Y141" s="1" t="str">
        <f t="shared" si="95"/>
        <v/>
      </c>
      <c r="Z141" s="1" t="str">
        <f t="shared" si="96"/>
        <v/>
      </c>
      <c r="AA141" s="1" t="str">
        <f t="shared" si="97"/>
        <v/>
      </c>
      <c r="AB141" s="1" t="str">
        <f t="shared" si="98"/>
        <v/>
      </c>
      <c r="AC141" s="1" t="str">
        <f t="shared" si="99"/>
        <v/>
      </c>
      <c r="AD141" s="1" t="str">
        <f t="shared" si="100"/>
        <v/>
      </c>
    </row>
    <row r="142" spans="3:30">
      <c r="C142" s="1"/>
      <c r="D142" s="1" t="str">
        <f t="shared" si="101"/>
        <v/>
      </c>
      <c r="F142" s="1"/>
      <c r="G142" s="1" t="str">
        <f t="shared" si="84"/>
        <v/>
      </c>
      <c r="H142" s="7" t="str">
        <f t="shared" si="103"/>
        <v/>
      </c>
      <c r="I142"/>
      <c r="J142" s="1" t="str">
        <f t="shared" si="85"/>
        <v/>
      </c>
      <c r="K142" s="1" t="str">
        <f t="shared" si="104"/>
        <v/>
      </c>
      <c r="L142" s="1"/>
      <c r="M142" t="str">
        <f t="shared" si="86"/>
        <v/>
      </c>
      <c r="N142" s="1" t="str">
        <f t="shared" si="102"/>
        <v/>
      </c>
      <c r="Q142" s="1" t="str">
        <f t="shared" si="87"/>
        <v/>
      </c>
      <c r="R142" s="1" t="str">
        <f t="shared" si="88"/>
        <v/>
      </c>
      <c r="S142" s="1" t="str">
        <f t="shared" si="89"/>
        <v/>
      </c>
      <c r="T142" s="1" t="str">
        <f t="shared" si="90"/>
        <v/>
      </c>
      <c r="U142" s="1" t="str">
        <f t="shared" si="91"/>
        <v/>
      </c>
      <c r="V142" s="1" t="str">
        <f t="shared" si="92"/>
        <v/>
      </c>
      <c r="W142" s="1" t="str">
        <f t="shared" si="93"/>
        <v/>
      </c>
      <c r="X142" s="1" t="str">
        <f t="shared" si="94"/>
        <v/>
      </c>
      <c r="Y142" s="1" t="str">
        <f t="shared" si="95"/>
        <v/>
      </c>
      <c r="Z142" s="1" t="str">
        <f t="shared" si="96"/>
        <v/>
      </c>
      <c r="AA142" s="1" t="str">
        <f t="shared" si="97"/>
        <v/>
      </c>
      <c r="AB142" s="1" t="str">
        <f t="shared" si="98"/>
        <v/>
      </c>
      <c r="AC142" s="1" t="str">
        <f t="shared" si="99"/>
        <v/>
      </c>
      <c r="AD142" s="1" t="str">
        <f t="shared" si="100"/>
        <v/>
      </c>
    </row>
    <row r="143" spans="3:30">
      <c r="C143" s="1"/>
      <c r="D143" s="1" t="str">
        <f t="shared" si="101"/>
        <v/>
      </c>
      <c r="F143" s="1"/>
      <c r="G143" s="1" t="str">
        <f t="shared" si="84"/>
        <v/>
      </c>
      <c r="H143" s="7" t="str">
        <f t="shared" si="103"/>
        <v/>
      </c>
      <c r="I143"/>
      <c r="J143" s="1" t="str">
        <f t="shared" si="85"/>
        <v/>
      </c>
      <c r="K143" s="1" t="str">
        <f t="shared" si="104"/>
        <v/>
      </c>
      <c r="L143" s="1"/>
      <c r="M143" t="str">
        <f t="shared" si="86"/>
        <v/>
      </c>
      <c r="N143" s="1" t="str">
        <f t="shared" si="102"/>
        <v/>
      </c>
      <c r="Q143" s="1" t="str">
        <f t="shared" si="87"/>
        <v/>
      </c>
      <c r="R143" s="1" t="str">
        <f t="shared" si="88"/>
        <v/>
      </c>
      <c r="S143" s="1" t="str">
        <f t="shared" si="89"/>
        <v/>
      </c>
      <c r="T143" s="1" t="str">
        <f t="shared" si="90"/>
        <v/>
      </c>
      <c r="U143" s="1" t="str">
        <f t="shared" si="91"/>
        <v/>
      </c>
      <c r="V143" s="1" t="str">
        <f t="shared" si="92"/>
        <v/>
      </c>
      <c r="W143" s="1" t="str">
        <f t="shared" si="93"/>
        <v/>
      </c>
      <c r="X143" s="1" t="str">
        <f t="shared" si="94"/>
        <v/>
      </c>
      <c r="Y143" s="1" t="str">
        <f t="shared" si="95"/>
        <v/>
      </c>
      <c r="Z143" s="1" t="str">
        <f t="shared" si="96"/>
        <v/>
      </c>
      <c r="AA143" s="1" t="str">
        <f t="shared" si="97"/>
        <v/>
      </c>
      <c r="AB143" s="1" t="str">
        <f t="shared" si="98"/>
        <v/>
      </c>
      <c r="AC143" s="1" t="str">
        <f t="shared" si="99"/>
        <v/>
      </c>
      <c r="AD143" s="1" t="str">
        <f t="shared" si="100"/>
        <v/>
      </c>
    </row>
    <row r="144" spans="3:30">
      <c r="C144" s="1"/>
      <c r="D144" s="1" t="str">
        <f t="shared" si="101"/>
        <v/>
      </c>
      <c r="F144" s="1"/>
      <c r="G144" s="1" t="str">
        <f t="shared" si="84"/>
        <v/>
      </c>
      <c r="H144" s="7" t="str">
        <f t="shared" si="103"/>
        <v/>
      </c>
      <c r="I144"/>
      <c r="J144" s="1" t="str">
        <f t="shared" si="85"/>
        <v/>
      </c>
      <c r="K144" s="1" t="str">
        <f t="shared" si="104"/>
        <v/>
      </c>
      <c r="L144" s="1"/>
      <c r="M144" t="str">
        <f t="shared" si="86"/>
        <v/>
      </c>
      <c r="N144" s="1" t="str">
        <f t="shared" si="102"/>
        <v/>
      </c>
      <c r="Q144" s="1" t="str">
        <f t="shared" si="87"/>
        <v/>
      </c>
      <c r="R144" s="1" t="str">
        <f t="shared" si="88"/>
        <v/>
      </c>
      <c r="S144" s="1" t="str">
        <f t="shared" si="89"/>
        <v/>
      </c>
      <c r="T144" s="1" t="str">
        <f t="shared" si="90"/>
        <v/>
      </c>
      <c r="U144" s="1" t="str">
        <f t="shared" si="91"/>
        <v/>
      </c>
      <c r="V144" s="1" t="str">
        <f t="shared" si="92"/>
        <v/>
      </c>
      <c r="W144" s="1" t="str">
        <f t="shared" si="93"/>
        <v/>
      </c>
      <c r="X144" s="1" t="str">
        <f t="shared" si="94"/>
        <v/>
      </c>
      <c r="Y144" s="1" t="str">
        <f t="shared" si="95"/>
        <v/>
      </c>
      <c r="Z144" s="1" t="str">
        <f t="shared" si="96"/>
        <v/>
      </c>
      <c r="AA144" s="1" t="str">
        <f t="shared" si="97"/>
        <v/>
      </c>
      <c r="AB144" s="1" t="str">
        <f t="shared" si="98"/>
        <v/>
      </c>
      <c r="AC144" s="1" t="str">
        <f t="shared" si="99"/>
        <v/>
      </c>
      <c r="AD144" s="1" t="str">
        <f t="shared" si="100"/>
        <v/>
      </c>
    </row>
    <row r="145" spans="3:30">
      <c r="C145" s="1"/>
      <c r="D145" s="1" t="str">
        <f t="shared" si="101"/>
        <v/>
      </c>
      <c r="F145" s="1"/>
      <c r="G145" s="1" t="str">
        <f t="shared" si="84"/>
        <v/>
      </c>
      <c r="H145" s="7" t="str">
        <f t="shared" si="103"/>
        <v/>
      </c>
      <c r="I145"/>
      <c r="J145" s="1" t="str">
        <f t="shared" si="85"/>
        <v/>
      </c>
      <c r="K145" s="1" t="str">
        <f t="shared" si="104"/>
        <v/>
      </c>
      <c r="L145" s="1"/>
      <c r="M145" t="str">
        <f t="shared" si="86"/>
        <v/>
      </c>
      <c r="N145" s="1" t="str">
        <f t="shared" si="102"/>
        <v/>
      </c>
      <c r="Q145" s="1" t="str">
        <f t="shared" si="87"/>
        <v/>
      </c>
      <c r="R145" s="1" t="str">
        <f t="shared" si="88"/>
        <v/>
      </c>
      <c r="S145" s="1" t="str">
        <f t="shared" si="89"/>
        <v/>
      </c>
      <c r="T145" s="1" t="str">
        <f t="shared" si="90"/>
        <v/>
      </c>
      <c r="U145" s="1" t="str">
        <f t="shared" si="91"/>
        <v/>
      </c>
      <c r="V145" s="1" t="str">
        <f t="shared" si="92"/>
        <v/>
      </c>
      <c r="W145" s="1" t="str">
        <f t="shared" si="93"/>
        <v/>
      </c>
      <c r="X145" s="1" t="str">
        <f t="shared" si="94"/>
        <v/>
      </c>
      <c r="Y145" s="1" t="str">
        <f t="shared" si="95"/>
        <v/>
      </c>
      <c r="Z145" s="1" t="str">
        <f t="shared" si="96"/>
        <v/>
      </c>
      <c r="AA145" s="1" t="str">
        <f t="shared" si="97"/>
        <v/>
      </c>
      <c r="AB145" s="1" t="str">
        <f t="shared" si="98"/>
        <v/>
      </c>
      <c r="AC145" s="1" t="str">
        <f t="shared" si="99"/>
        <v/>
      </c>
      <c r="AD145" s="1" t="str">
        <f t="shared" si="100"/>
        <v/>
      </c>
    </row>
    <row r="146" spans="3:30">
      <c r="C146" s="1"/>
      <c r="D146" s="1" t="str">
        <f t="shared" si="101"/>
        <v/>
      </c>
      <c r="F146" s="1"/>
      <c r="G146" s="1" t="str">
        <f t="shared" si="84"/>
        <v/>
      </c>
      <c r="H146" s="7" t="str">
        <f t="shared" si="103"/>
        <v/>
      </c>
      <c r="I146"/>
      <c r="J146" s="1" t="str">
        <f t="shared" si="85"/>
        <v/>
      </c>
      <c r="K146" s="1" t="str">
        <f t="shared" si="104"/>
        <v/>
      </c>
      <c r="L146" s="1"/>
      <c r="M146" t="str">
        <f t="shared" si="86"/>
        <v/>
      </c>
      <c r="N146" s="1" t="str">
        <f t="shared" si="102"/>
        <v/>
      </c>
      <c r="Q146" s="1" t="str">
        <f t="shared" si="87"/>
        <v/>
      </c>
      <c r="R146" s="1" t="str">
        <f t="shared" si="88"/>
        <v/>
      </c>
      <c r="S146" s="1" t="str">
        <f t="shared" si="89"/>
        <v/>
      </c>
      <c r="T146" s="1" t="str">
        <f t="shared" si="90"/>
        <v/>
      </c>
      <c r="U146" s="1" t="str">
        <f t="shared" si="91"/>
        <v/>
      </c>
      <c r="V146" s="1" t="str">
        <f t="shared" si="92"/>
        <v/>
      </c>
      <c r="W146" s="1" t="str">
        <f t="shared" si="93"/>
        <v/>
      </c>
      <c r="X146" s="1" t="str">
        <f t="shared" si="94"/>
        <v/>
      </c>
      <c r="Y146" s="1" t="str">
        <f t="shared" si="95"/>
        <v/>
      </c>
      <c r="Z146" s="1" t="str">
        <f t="shared" si="96"/>
        <v/>
      </c>
      <c r="AA146" s="1" t="str">
        <f t="shared" si="97"/>
        <v/>
      </c>
      <c r="AB146" s="1" t="str">
        <f t="shared" si="98"/>
        <v/>
      </c>
      <c r="AC146" s="1" t="str">
        <f t="shared" si="99"/>
        <v/>
      </c>
      <c r="AD146" s="1" t="str">
        <f t="shared" si="100"/>
        <v/>
      </c>
    </row>
    <row r="147" spans="3:30">
      <c r="C147" s="1"/>
      <c r="D147" s="1" t="str">
        <f t="shared" si="101"/>
        <v/>
      </c>
      <c r="F147" s="1"/>
      <c r="G147" s="1" t="str">
        <f t="shared" si="84"/>
        <v/>
      </c>
      <c r="H147" s="7" t="str">
        <f t="shared" si="103"/>
        <v/>
      </c>
      <c r="I147"/>
      <c r="J147" s="1" t="str">
        <f t="shared" si="85"/>
        <v/>
      </c>
      <c r="K147" s="1" t="str">
        <f t="shared" si="104"/>
        <v/>
      </c>
      <c r="L147" s="1"/>
      <c r="M147" t="str">
        <f t="shared" si="86"/>
        <v/>
      </c>
      <c r="N147" s="1" t="str">
        <f t="shared" si="102"/>
        <v/>
      </c>
      <c r="Q147" s="1" t="str">
        <f t="shared" si="87"/>
        <v/>
      </c>
      <c r="R147" s="1" t="str">
        <f t="shared" si="88"/>
        <v/>
      </c>
      <c r="S147" s="1" t="str">
        <f t="shared" si="89"/>
        <v/>
      </c>
      <c r="T147" s="1" t="str">
        <f t="shared" si="90"/>
        <v/>
      </c>
      <c r="U147" s="1" t="str">
        <f t="shared" si="91"/>
        <v/>
      </c>
      <c r="V147" s="1" t="str">
        <f t="shared" si="92"/>
        <v/>
      </c>
      <c r="W147" s="1" t="str">
        <f t="shared" si="93"/>
        <v/>
      </c>
      <c r="X147" s="1" t="str">
        <f t="shared" si="94"/>
        <v/>
      </c>
      <c r="Y147" s="1" t="str">
        <f t="shared" si="95"/>
        <v/>
      </c>
      <c r="Z147" s="1" t="str">
        <f t="shared" si="96"/>
        <v/>
      </c>
      <c r="AA147" s="1" t="str">
        <f t="shared" si="97"/>
        <v/>
      </c>
      <c r="AB147" s="1" t="str">
        <f t="shared" si="98"/>
        <v/>
      </c>
      <c r="AC147" s="1" t="str">
        <f t="shared" si="99"/>
        <v/>
      </c>
      <c r="AD147" s="1" t="str">
        <f t="shared" si="100"/>
        <v/>
      </c>
    </row>
    <row r="148" spans="3:30">
      <c r="C148" s="1"/>
      <c r="D148" s="1" t="str">
        <f t="shared" si="101"/>
        <v/>
      </c>
      <c r="F148" s="1"/>
      <c r="G148" s="1" t="str">
        <f t="shared" si="84"/>
        <v/>
      </c>
      <c r="H148" s="7" t="str">
        <f t="shared" si="103"/>
        <v/>
      </c>
      <c r="I148"/>
      <c r="J148" s="1" t="str">
        <f t="shared" si="85"/>
        <v/>
      </c>
      <c r="K148" s="1" t="str">
        <f t="shared" si="104"/>
        <v/>
      </c>
      <c r="L148" s="1"/>
      <c r="M148" t="str">
        <f t="shared" si="86"/>
        <v/>
      </c>
      <c r="N148" s="1" t="str">
        <f t="shared" si="102"/>
        <v/>
      </c>
      <c r="Q148" s="1" t="str">
        <f t="shared" si="87"/>
        <v/>
      </c>
      <c r="R148" s="1" t="str">
        <f t="shared" si="88"/>
        <v/>
      </c>
      <c r="S148" s="1" t="str">
        <f t="shared" si="89"/>
        <v/>
      </c>
      <c r="T148" s="1" t="str">
        <f t="shared" si="90"/>
        <v/>
      </c>
      <c r="U148" s="1" t="str">
        <f t="shared" si="91"/>
        <v/>
      </c>
      <c r="V148" s="1" t="str">
        <f t="shared" si="92"/>
        <v/>
      </c>
      <c r="W148" s="1" t="str">
        <f t="shared" si="93"/>
        <v/>
      </c>
      <c r="X148" s="1" t="str">
        <f t="shared" si="94"/>
        <v/>
      </c>
      <c r="Y148" s="1" t="str">
        <f t="shared" si="95"/>
        <v/>
      </c>
      <c r="Z148" s="1" t="str">
        <f t="shared" si="96"/>
        <v/>
      </c>
      <c r="AA148" s="1" t="str">
        <f t="shared" si="97"/>
        <v/>
      </c>
      <c r="AB148" s="1" t="str">
        <f t="shared" si="98"/>
        <v/>
      </c>
      <c r="AC148" s="1" t="str">
        <f t="shared" si="99"/>
        <v/>
      </c>
      <c r="AD148" s="1" t="str">
        <f t="shared" si="100"/>
        <v/>
      </c>
    </row>
    <row r="149" spans="3:30">
      <c r="C149" s="1"/>
      <c r="D149" s="1" t="str">
        <f t="shared" si="101"/>
        <v/>
      </c>
      <c r="F149" s="1"/>
      <c r="G149" s="1" t="str">
        <f t="shared" si="84"/>
        <v/>
      </c>
      <c r="H149" s="7" t="str">
        <f t="shared" si="103"/>
        <v/>
      </c>
      <c r="I149"/>
      <c r="J149" s="1" t="str">
        <f t="shared" si="85"/>
        <v/>
      </c>
      <c r="K149" s="1" t="str">
        <f t="shared" si="104"/>
        <v/>
      </c>
      <c r="L149" s="1"/>
      <c r="M149" t="str">
        <f t="shared" si="86"/>
        <v/>
      </c>
      <c r="N149" s="1" t="str">
        <f t="shared" si="102"/>
        <v/>
      </c>
      <c r="Q149" s="1" t="str">
        <f t="shared" si="87"/>
        <v/>
      </c>
      <c r="R149" s="1" t="str">
        <f t="shared" si="88"/>
        <v/>
      </c>
      <c r="S149" s="1" t="str">
        <f t="shared" si="89"/>
        <v/>
      </c>
      <c r="T149" s="1" t="str">
        <f t="shared" si="90"/>
        <v/>
      </c>
      <c r="U149" s="1" t="str">
        <f t="shared" si="91"/>
        <v/>
      </c>
      <c r="V149" s="1" t="str">
        <f t="shared" si="92"/>
        <v/>
      </c>
      <c r="W149" s="1" t="str">
        <f t="shared" si="93"/>
        <v/>
      </c>
      <c r="X149" s="1" t="str">
        <f t="shared" si="94"/>
        <v/>
      </c>
      <c r="Y149" s="1" t="str">
        <f t="shared" si="95"/>
        <v/>
      </c>
      <c r="Z149" s="1" t="str">
        <f t="shared" si="96"/>
        <v/>
      </c>
      <c r="AA149" s="1" t="str">
        <f t="shared" si="97"/>
        <v/>
      </c>
      <c r="AB149" s="1" t="str">
        <f t="shared" si="98"/>
        <v/>
      </c>
      <c r="AC149" s="1" t="str">
        <f t="shared" si="99"/>
        <v/>
      </c>
      <c r="AD149" s="1" t="str">
        <f t="shared" si="100"/>
        <v/>
      </c>
    </row>
    <row r="150" spans="3:30">
      <c r="C150" s="1"/>
      <c r="D150" s="1" t="str">
        <f t="shared" si="101"/>
        <v/>
      </c>
      <c r="F150" s="1"/>
      <c r="G150" s="1" t="str">
        <f t="shared" si="84"/>
        <v/>
      </c>
      <c r="H150" s="7" t="str">
        <f t="shared" si="103"/>
        <v/>
      </c>
      <c r="I150"/>
      <c r="J150" s="1" t="str">
        <f t="shared" si="85"/>
        <v/>
      </c>
      <c r="K150" s="1" t="str">
        <f t="shared" si="104"/>
        <v/>
      </c>
      <c r="L150" s="1"/>
      <c r="M150" t="str">
        <f t="shared" si="86"/>
        <v/>
      </c>
      <c r="N150" s="1" t="str">
        <f t="shared" si="102"/>
        <v/>
      </c>
      <c r="Q150" s="1" t="str">
        <f t="shared" si="87"/>
        <v/>
      </c>
      <c r="R150" s="1" t="str">
        <f t="shared" si="88"/>
        <v/>
      </c>
      <c r="S150" s="1" t="str">
        <f t="shared" si="89"/>
        <v/>
      </c>
      <c r="T150" s="1" t="str">
        <f t="shared" si="90"/>
        <v/>
      </c>
      <c r="U150" s="1" t="str">
        <f t="shared" si="91"/>
        <v/>
      </c>
      <c r="V150" s="1" t="str">
        <f t="shared" si="92"/>
        <v/>
      </c>
      <c r="W150" s="1" t="str">
        <f t="shared" si="93"/>
        <v/>
      </c>
      <c r="X150" s="1" t="str">
        <f t="shared" si="94"/>
        <v/>
      </c>
      <c r="Y150" s="1" t="str">
        <f t="shared" si="95"/>
        <v/>
      </c>
      <c r="Z150" s="1" t="str">
        <f t="shared" si="96"/>
        <v/>
      </c>
      <c r="AA150" s="1" t="str">
        <f t="shared" si="97"/>
        <v/>
      </c>
      <c r="AB150" s="1" t="str">
        <f t="shared" si="98"/>
        <v/>
      </c>
      <c r="AC150" s="1" t="str">
        <f t="shared" si="99"/>
        <v/>
      </c>
      <c r="AD150" s="1" t="str">
        <f t="shared" si="100"/>
        <v/>
      </c>
    </row>
    <row r="151" spans="3:30">
      <c r="C151" s="1"/>
      <c r="D151" s="1" t="str">
        <f t="shared" si="101"/>
        <v/>
      </c>
      <c r="F151" s="1"/>
      <c r="G151" s="1" t="str">
        <f t="shared" si="84"/>
        <v/>
      </c>
      <c r="H151" s="7" t="str">
        <f t="shared" si="103"/>
        <v/>
      </c>
      <c r="I151"/>
      <c r="J151" s="1" t="str">
        <f t="shared" si="85"/>
        <v/>
      </c>
      <c r="K151" s="1" t="str">
        <f t="shared" si="104"/>
        <v/>
      </c>
      <c r="L151" s="1"/>
      <c r="M151" t="str">
        <f t="shared" si="86"/>
        <v/>
      </c>
      <c r="N151" s="1" t="str">
        <f t="shared" si="102"/>
        <v/>
      </c>
      <c r="Q151" s="1" t="str">
        <f t="shared" si="87"/>
        <v/>
      </c>
      <c r="R151" s="1" t="str">
        <f t="shared" si="88"/>
        <v/>
      </c>
      <c r="S151" s="1" t="str">
        <f t="shared" si="89"/>
        <v/>
      </c>
      <c r="T151" s="1" t="str">
        <f t="shared" si="90"/>
        <v/>
      </c>
      <c r="U151" s="1" t="str">
        <f t="shared" si="91"/>
        <v/>
      </c>
      <c r="V151" s="1" t="str">
        <f t="shared" si="92"/>
        <v/>
      </c>
      <c r="W151" s="1" t="str">
        <f t="shared" si="93"/>
        <v/>
      </c>
      <c r="X151" s="1" t="str">
        <f t="shared" si="94"/>
        <v/>
      </c>
      <c r="Y151" s="1" t="str">
        <f t="shared" si="95"/>
        <v/>
      </c>
      <c r="Z151" s="1" t="str">
        <f t="shared" si="96"/>
        <v/>
      </c>
      <c r="AA151" s="1" t="str">
        <f t="shared" si="97"/>
        <v/>
      </c>
      <c r="AB151" s="1" t="str">
        <f t="shared" si="98"/>
        <v/>
      </c>
      <c r="AC151" s="1" t="str">
        <f t="shared" si="99"/>
        <v/>
      </c>
      <c r="AD151" s="1" t="str">
        <f t="shared" si="100"/>
        <v/>
      </c>
    </row>
    <row r="152" spans="3:30">
      <c r="C152" s="1"/>
      <c r="D152" s="1" t="str">
        <f t="shared" si="101"/>
        <v/>
      </c>
      <c r="F152" s="1"/>
      <c r="G152" s="1" t="str">
        <f t="shared" si="84"/>
        <v/>
      </c>
      <c r="H152" s="7" t="str">
        <f t="shared" si="103"/>
        <v/>
      </c>
      <c r="I152"/>
      <c r="J152" s="1" t="str">
        <f t="shared" si="85"/>
        <v/>
      </c>
      <c r="K152" s="1" t="str">
        <f t="shared" si="104"/>
        <v/>
      </c>
      <c r="L152" s="1"/>
      <c r="M152" t="str">
        <f t="shared" si="86"/>
        <v/>
      </c>
      <c r="N152" s="1" t="str">
        <f t="shared" si="102"/>
        <v/>
      </c>
      <c r="Q152" s="1" t="str">
        <f t="shared" si="87"/>
        <v/>
      </c>
      <c r="R152" s="1" t="str">
        <f t="shared" si="88"/>
        <v/>
      </c>
      <c r="S152" s="1" t="str">
        <f t="shared" si="89"/>
        <v/>
      </c>
      <c r="T152" s="1" t="str">
        <f t="shared" si="90"/>
        <v/>
      </c>
      <c r="U152" s="1" t="str">
        <f t="shared" si="91"/>
        <v/>
      </c>
      <c r="V152" s="1" t="str">
        <f t="shared" si="92"/>
        <v/>
      </c>
      <c r="W152" s="1" t="str">
        <f t="shared" si="93"/>
        <v/>
      </c>
      <c r="X152" s="1" t="str">
        <f t="shared" si="94"/>
        <v/>
      </c>
      <c r="Y152" s="1" t="str">
        <f t="shared" si="95"/>
        <v/>
      </c>
      <c r="Z152" s="1" t="str">
        <f t="shared" si="96"/>
        <v/>
      </c>
      <c r="AA152" s="1" t="str">
        <f t="shared" si="97"/>
        <v/>
      </c>
      <c r="AB152" s="1" t="str">
        <f t="shared" si="98"/>
        <v/>
      </c>
      <c r="AC152" s="1" t="str">
        <f t="shared" si="99"/>
        <v/>
      </c>
      <c r="AD152" s="1" t="str">
        <f t="shared" si="100"/>
        <v/>
      </c>
    </row>
    <row r="153" spans="3:30">
      <c r="C153" s="1"/>
      <c r="D153" s="1" t="str">
        <f t="shared" si="101"/>
        <v/>
      </c>
      <c r="F153" s="1"/>
      <c r="G153" s="1" t="str">
        <f t="shared" si="84"/>
        <v/>
      </c>
      <c r="H153" s="7" t="str">
        <f t="shared" si="103"/>
        <v/>
      </c>
      <c r="I153"/>
      <c r="J153" s="1" t="str">
        <f t="shared" si="85"/>
        <v/>
      </c>
      <c r="K153" s="1" t="str">
        <f t="shared" si="104"/>
        <v/>
      </c>
      <c r="L153" s="1"/>
      <c r="M153" t="str">
        <f t="shared" si="86"/>
        <v/>
      </c>
      <c r="N153" s="1" t="str">
        <f t="shared" si="102"/>
        <v/>
      </c>
      <c r="Q153" s="1" t="str">
        <f t="shared" si="87"/>
        <v/>
      </c>
      <c r="R153" s="1" t="str">
        <f t="shared" si="88"/>
        <v/>
      </c>
      <c r="S153" s="1" t="str">
        <f t="shared" si="89"/>
        <v/>
      </c>
      <c r="T153" s="1" t="str">
        <f t="shared" si="90"/>
        <v/>
      </c>
      <c r="U153" s="1" t="str">
        <f t="shared" si="91"/>
        <v/>
      </c>
      <c r="V153" s="1" t="str">
        <f t="shared" si="92"/>
        <v/>
      </c>
      <c r="W153" s="1" t="str">
        <f t="shared" si="93"/>
        <v/>
      </c>
      <c r="X153" s="1" t="str">
        <f t="shared" si="94"/>
        <v/>
      </c>
      <c r="Y153" s="1" t="str">
        <f t="shared" si="95"/>
        <v/>
      </c>
      <c r="Z153" s="1" t="str">
        <f t="shared" si="96"/>
        <v/>
      </c>
      <c r="AA153" s="1" t="str">
        <f t="shared" si="97"/>
        <v/>
      </c>
      <c r="AB153" s="1" t="str">
        <f t="shared" si="98"/>
        <v/>
      </c>
      <c r="AC153" s="1" t="str">
        <f t="shared" si="99"/>
        <v/>
      </c>
      <c r="AD153" s="1" t="str">
        <f t="shared" si="100"/>
        <v/>
      </c>
    </row>
    <row r="154" spans="3:30">
      <c r="C154" s="1"/>
      <c r="D154" s="1" t="str">
        <f t="shared" si="101"/>
        <v/>
      </c>
      <c r="F154" s="1"/>
      <c r="G154" s="1" t="str">
        <f t="shared" si="84"/>
        <v/>
      </c>
      <c r="H154" s="7" t="str">
        <f t="shared" si="103"/>
        <v/>
      </c>
      <c r="I154"/>
      <c r="J154" s="1" t="str">
        <f t="shared" si="85"/>
        <v/>
      </c>
      <c r="K154" s="1" t="str">
        <f t="shared" si="104"/>
        <v/>
      </c>
      <c r="L154" s="1"/>
      <c r="M154" t="str">
        <f t="shared" si="86"/>
        <v/>
      </c>
      <c r="N154" s="1" t="str">
        <f t="shared" si="102"/>
        <v/>
      </c>
      <c r="Q154" s="1" t="str">
        <f t="shared" si="87"/>
        <v/>
      </c>
      <c r="R154" s="1" t="str">
        <f t="shared" si="88"/>
        <v/>
      </c>
      <c r="S154" s="1" t="str">
        <f t="shared" si="89"/>
        <v/>
      </c>
      <c r="T154" s="1" t="str">
        <f t="shared" si="90"/>
        <v/>
      </c>
      <c r="U154" s="1" t="str">
        <f t="shared" si="91"/>
        <v/>
      </c>
      <c r="V154" s="1" t="str">
        <f t="shared" si="92"/>
        <v/>
      </c>
      <c r="W154" s="1" t="str">
        <f t="shared" si="93"/>
        <v/>
      </c>
      <c r="X154" s="1" t="str">
        <f t="shared" si="94"/>
        <v/>
      </c>
      <c r="Y154" s="1" t="str">
        <f t="shared" si="95"/>
        <v/>
      </c>
      <c r="Z154" s="1" t="str">
        <f t="shared" si="96"/>
        <v/>
      </c>
      <c r="AA154" s="1" t="str">
        <f t="shared" si="97"/>
        <v/>
      </c>
      <c r="AB154" s="1" t="str">
        <f t="shared" si="98"/>
        <v/>
      </c>
      <c r="AC154" s="1" t="str">
        <f t="shared" si="99"/>
        <v/>
      </c>
      <c r="AD154" s="1" t="str">
        <f t="shared" si="100"/>
        <v/>
      </c>
    </row>
    <row r="155" spans="3:30">
      <c r="C155" s="1"/>
      <c r="D155" s="1" t="str">
        <f t="shared" si="101"/>
        <v/>
      </c>
      <c r="F155" s="1"/>
      <c r="G155" s="1" t="str">
        <f t="shared" si="84"/>
        <v/>
      </c>
      <c r="H155" s="7" t="str">
        <f t="shared" si="103"/>
        <v/>
      </c>
      <c r="I155"/>
      <c r="J155" s="1" t="str">
        <f t="shared" si="85"/>
        <v/>
      </c>
      <c r="K155" s="1" t="str">
        <f t="shared" si="104"/>
        <v/>
      </c>
      <c r="L155" s="1"/>
      <c r="M155" t="str">
        <f t="shared" si="86"/>
        <v/>
      </c>
      <c r="N155" s="1" t="str">
        <f t="shared" si="102"/>
        <v/>
      </c>
      <c r="Q155" s="1" t="str">
        <f t="shared" si="87"/>
        <v/>
      </c>
      <c r="R155" s="1" t="str">
        <f t="shared" si="88"/>
        <v/>
      </c>
      <c r="S155" s="1" t="str">
        <f t="shared" si="89"/>
        <v/>
      </c>
      <c r="T155" s="1" t="str">
        <f t="shared" si="90"/>
        <v/>
      </c>
      <c r="U155" s="1" t="str">
        <f t="shared" si="91"/>
        <v/>
      </c>
      <c r="V155" s="1" t="str">
        <f t="shared" si="92"/>
        <v/>
      </c>
      <c r="W155" s="1" t="str">
        <f t="shared" si="93"/>
        <v/>
      </c>
      <c r="X155" s="1" t="str">
        <f t="shared" si="94"/>
        <v/>
      </c>
      <c r="Y155" s="1" t="str">
        <f t="shared" si="95"/>
        <v/>
      </c>
      <c r="Z155" s="1" t="str">
        <f t="shared" si="96"/>
        <v/>
      </c>
      <c r="AA155" s="1" t="str">
        <f t="shared" si="97"/>
        <v/>
      </c>
      <c r="AB155" s="1" t="str">
        <f t="shared" si="98"/>
        <v/>
      </c>
      <c r="AC155" s="1" t="str">
        <f t="shared" si="99"/>
        <v/>
      </c>
      <c r="AD155" s="1" t="str">
        <f t="shared" si="100"/>
        <v/>
      </c>
    </row>
    <row r="156" spans="3:30">
      <c r="C156" s="1"/>
      <c r="D156" s="1" t="str">
        <f t="shared" si="101"/>
        <v/>
      </c>
      <c r="F156" s="1"/>
      <c r="G156" s="1" t="str">
        <f t="shared" si="84"/>
        <v/>
      </c>
      <c r="H156" s="7" t="str">
        <f t="shared" si="103"/>
        <v/>
      </c>
      <c r="I156"/>
      <c r="J156" s="1" t="str">
        <f t="shared" si="85"/>
        <v/>
      </c>
      <c r="K156" s="1" t="str">
        <f t="shared" si="104"/>
        <v/>
      </c>
      <c r="L156" s="1"/>
      <c r="M156" t="str">
        <f t="shared" si="86"/>
        <v/>
      </c>
      <c r="N156" s="1" t="str">
        <f t="shared" si="102"/>
        <v/>
      </c>
      <c r="Q156" s="1" t="str">
        <f t="shared" si="87"/>
        <v/>
      </c>
      <c r="R156" s="1" t="str">
        <f t="shared" si="88"/>
        <v/>
      </c>
      <c r="S156" s="1" t="str">
        <f t="shared" si="89"/>
        <v/>
      </c>
      <c r="T156" s="1" t="str">
        <f t="shared" si="90"/>
        <v/>
      </c>
      <c r="U156" s="1" t="str">
        <f t="shared" si="91"/>
        <v/>
      </c>
      <c r="V156" s="1" t="str">
        <f t="shared" si="92"/>
        <v/>
      </c>
      <c r="W156" s="1" t="str">
        <f t="shared" si="93"/>
        <v/>
      </c>
      <c r="X156" s="1" t="str">
        <f t="shared" si="94"/>
        <v/>
      </c>
      <c r="Y156" s="1" t="str">
        <f t="shared" si="95"/>
        <v/>
      </c>
      <c r="Z156" s="1" t="str">
        <f t="shared" si="96"/>
        <v/>
      </c>
      <c r="AA156" s="1" t="str">
        <f t="shared" si="97"/>
        <v/>
      </c>
      <c r="AB156" s="1" t="str">
        <f t="shared" si="98"/>
        <v/>
      </c>
      <c r="AC156" s="1" t="str">
        <f t="shared" si="99"/>
        <v/>
      </c>
      <c r="AD156" s="1" t="str">
        <f t="shared" si="100"/>
        <v/>
      </c>
    </row>
    <row r="157" spans="3:30">
      <c r="C157" s="1"/>
      <c r="D157" s="1" t="str">
        <f t="shared" si="101"/>
        <v/>
      </c>
      <c r="F157" s="1"/>
      <c r="G157" s="1" t="str">
        <f t="shared" si="84"/>
        <v/>
      </c>
      <c r="H157" s="7" t="str">
        <f t="shared" si="103"/>
        <v/>
      </c>
      <c r="I157"/>
      <c r="J157" s="1" t="str">
        <f t="shared" si="85"/>
        <v/>
      </c>
      <c r="K157" s="1" t="str">
        <f t="shared" si="104"/>
        <v/>
      </c>
      <c r="L157" s="1"/>
      <c r="M157" t="str">
        <f t="shared" si="86"/>
        <v/>
      </c>
      <c r="N157" s="1" t="str">
        <f t="shared" si="102"/>
        <v/>
      </c>
      <c r="Q157" s="1" t="str">
        <f t="shared" si="87"/>
        <v/>
      </c>
      <c r="R157" s="1" t="str">
        <f t="shared" si="88"/>
        <v/>
      </c>
      <c r="S157" s="1" t="str">
        <f t="shared" si="89"/>
        <v/>
      </c>
      <c r="T157" s="1" t="str">
        <f t="shared" si="90"/>
        <v/>
      </c>
      <c r="U157" s="1" t="str">
        <f t="shared" si="91"/>
        <v/>
      </c>
      <c r="V157" s="1" t="str">
        <f t="shared" si="92"/>
        <v/>
      </c>
      <c r="W157" s="1" t="str">
        <f t="shared" si="93"/>
        <v/>
      </c>
      <c r="X157" s="1" t="str">
        <f t="shared" si="94"/>
        <v/>
      </c>
      <c r="Y157" s="1" t="str">
        <f t="shared" si="95"/>
        <v/>
      </c>
      <c r="Z157" s="1" t="str">
        <f t="shared" si="96"/>
        <v/>
      </c>
      <c r="AA157" s="1" t="str">
        <f t="shared" si="97"/>
        <v/>
      </c>
      <c r="AB157" s="1" t="str">
        <f t="shared" si="98"/>
        <v/>
      </c>
      <c r="AC157" s="1" t="str">
        <f t="shared" si="99"/>
        <v/>
      </c>
      <c r="AD157" s="1" t="str">
        <f t="shared" si="100"/>
        <v/>
      </c>
    </row>
    <row r="158" spans="3:30">
      <c r="C158" s="1"/>
      <c r="D158" s="1" t="str">
        <f t="shared" si="101"/>
        <v/>
      </c>
      <c r="F158" s="1"/>
      <c r="G158" s="1" t="str">
        <f t="shared" si="84"/>
        <v/>
      </c>
      <c r="H158" s="7" t="str">
        <f t="shared" si="103"/>
        <v/>
      </c>
      <c r="I158"/>
      <c r="J158" s="1" t="str">
        <f t="shared" si="85"/>
        <v/>
      </c>
      <c r="K158" s="1" t="str">
        <f t="shared" si="104"/>
        <v/>
      </c>
      <c r="L158" s="1"/>
      <c r="M158" t="str">
        <f t="shared" si="86"/>
        <v/>
      </c>
      <c r="N158" s="1" t="str">
        <f t="shared" si="102"/>
        <v/>
      </c>
      <c r="Q158" s="1" t="str">
        <f t="shared" si="87"/>
        <v/>
      </c>
      <c r="R158" s="1" t="str">
        <f t="shared" si="88"/>
        <v/>
      </c>
      <c r="S158" s="1" t="str">
        <f t="shared" si="89"/>
        <v/>
      </c>
      <c r="T158" s="1" t="str">
        <f t="shared" si="90"/>
        <v/>
      </c>
      <c r="U158" s="1" t="str">
        <f t="shared" si="91"/>
        <v/>
      </c>
      <c r="V158" s="1" t="str">
        <f t="shared" si="92"/>
        <v/>
      </c>
      <c r="W158" s="1" t="str">
        <f t="shared" si="93"/>
        <v/>
      </c>
      <c r="X158" s="1" t="str">
        <f t="shared" si="94"/>
        <v/>
      </c>
      <c r="Y158" s="1" t="str">
        <f t="shared" si="95"/>
        <v/>
      </c>
      <c r="Z158" s="1" t="str">
        <f t="shared" si="96"/>
        <v/>
      </c>
      <c r="AA158" s="1" t="str">
        <f t="shared" si="97"/>
        <v/>
      </c>
      <c r="AB158" s="1" t="str">
        <f t="shared" si="98"/>
        <v/>
      </c>
      <c r="AC158" s="1" t="str">
        <f t="shared" si="99"/>
        <v/>
      </c>
      <c r="AD158" s="1" t="str">
        <f t="shared" si="100"/>
        <v/>
      </c>
    </row>
    <row r="159" spans="3:30">
      <c r="C159" s="1"/>
      <c r="D159" s="1" t="str">
        <f t="shared" si="101"/>
        <v/>
      </c>
      <c r="F159" s="1"/>
      <c r="G159" s="1" t="str">
        <f t="shared" si="84"/>
        <v/>
      </c>
      <c r="H159" s="7" t="str">
        <f t="shared" si="103"/>
        <v/>
      </c>
      <c r="I159"/>
      <c r="J159" s="1" t="str">
        <f t="shared" si="85"/>
        <v/>
      </c>
      <c r="K159" s="1" t="str">
        <f t="shared" si="104"/>
        <v/>
      </c>
      <c r="L159" s="1"/>
      <c r="M159" t="str">
        <f t="shared" si="86"/>
        <v/>
      </c>
      <c r="N159" s="1" t="str">
        <f t="shared" si="102"/>
        <v/>
      </c>
      <c r="Q159" s="1" t="str">
        <f t="shared" si="87"/>
        <v/>
      </c>
      <c r="R159" s="1" t="str">
        <f t="shared" si="88"/>
        <v/>
      </c>
      <c r="S159" s="1" t="str">
        <f t="shared" si="89"/>
        <v/>
      </c>
      <c r="T159" s="1" t="str">
        <f t="shared" si="90"/>
        <v/>
      </c>
      <c r="U159" s="1" t="str">
        <f t="shared" si="91"/>
        <v/>
      </c>
      <c r="V159" s="1" t="str">
        <f t="shared" si="92"/>
        <v/>
      </c>
      <c r="W159" s="1" t="str">
        <f t="shared" si="93"/>
        <v/>
      </c>
      <c r="X159" s="1" t="str">
        <f t="shared" si="94"/>
        <v/>
      </c>
      <c r="Y159" s="1" t="str">
        <f t="shared" si="95"/>
        <v/>
      </c>
      <c r="Z159" s="1" t="str">
        <f t="shared" si="96"/>
        <v/>
      </c>
      <c r="AA159" s="1" t="str">
        <f t="shared" si="97"/>
        <v/>
      </c>
      <c r="AB159" s="1" t="str">
        <f t="shared" si="98"/>
        <v/>
      </c>
      <c r="AC159" s="1" t="str">
        <f t="shared" si="99"/>
        <v/>
      </c>
      <c r="AD159" s="1" t="str">
        <f t="shared" si="100"/>
        <v/>
      </c>
    </row>
    <row r="160" spans="3:30">
      <c r="C160" s="1"/>
      <c r="D160" s="1" t="str">
        <f t="shared" si="101"/>
        <v/>
      </c>
      <c r="F160" s="1"/>
      <c r="G160" s="1" t="str">
        <f t="shared" si="84"/>
        <v/>
      </c>
      <c r="H160" s="7" t="str">
        <f t="shared" si="103"/>
        <v/>
      </c>
      <c r="I160"/>
      <c r="J160" s="1" t="str">
        <f t="shared" si="85"/>
        <v/>
      </c>
      <c r="K160" s="1" t="str">
        <f t="shared" si="104"/>
        <v/>
      </c>
      <c r="L160" s="1"/>
      <c r="M160" t="str">
        <f t="shared" si="86"/>
        <v/>
      </c>
      <c r="N160" s="1" t="str">
        <f t="shared" si="102"/>
        <v/>
      </c>
      <c r="Q160" s="1" t="str">
        <f t="shared" si="87"/>
        <v/>
      </c>
      <c r="R160" s="1" t="str">
        <f t="shared" si="88"/>
        <v/>
      </c>
      <c r="S160" s="1" t="str">
        <f t="shared" si="89"/>
        <v/>
      </c>
      <c r="T160" s="1" t="str">
        <f t="shared" si="90"/>
        <v/>
      </c>
      <c r="U160" s="1" t="str">
        <f t="shared" si="91"/>
        <v/>
      </c>
      <c r="V160" s="1" t="str">
        <f t="shared" si="92"/>
        <v/>
      </c>
      <c r="W160" s="1" t="str">
        <f t="shared" si="93"/>
        <v/>
      </c>
      <c r="X160" s="1" t="str">
        <f t="shared" si="94"/>
        <v/>
      </c>
      <c r="Y160" s="1" t="str">
        <f t="shared" si="95"/>
        <v/>
      </c>
      <c r="Z160" s="1" t="str">
        <f t="shared" si="96"/>
        <v/>
      </c>
      <c r="AA160" s="1" t="str">
        <f t="shared" si="97"/>
        <v/>
      </c>
      <c r="AB160" s="1" t="str">
        <f t="shared" si="98"/>
        <v/>
      </c>
      <c r="AC160" s="1" t="str">
        <f t="shared" si="99"/>
        <v/>
      </c>
      <c r="AD160" s="1" t="str">
        <f t="shared" si="100"/>
        <v/>
      </c>
    </row>
    <row r="161" spans="3:30">
      <c r="C161" s="1"/>
      <c r="D161" s="1" t="str">
        <f t="shared" si="101"/>
        <v/>
      </c>
      <c r="F161" s="1"/>
      <c r="G161" s="1" t="str">
        <f t="shared" si="84"/>
        <v/>
      </c>
      <c r="H161" s="7" t="str">
        <f t="shared" si="103"/>
        <v/>
      </c>
      <c r="I161"/>
      <c r="J161" s="1" t="str">
        <f t="shared" si="85"/>
        <v/>
      </c>
      <c r="K161" s="1" t="str">
        <f t="shared" si="104"/>
        <v/>
      </c>
      <c r="L161" s="1"/>
      <c r="M161" t="str">
        <f t="shared" si="86"/>
        <v/>
      </c>
      <c r="N161" s="1" t="str">
        <f t="shared" si="102"/>
        <v/>
      </c>
      <c r="Q161" s="1" t="str">
        <f t="shared" si="87"/>
        <v/>
      </c>
      <c r="R161" s="1" t="str">
        <f t="shared" si="88"/>
        <v/>
      </c>
      <c r="S161" s="1" t="str">
        <f t="shared" si="89"/>
        <v/>
      </c>
      <c r="T161" s="1" t="str">
        <f t="shared" si="90"/>
        <v/>
      </c>
      <c r="U161" s="1" t="str">
        <f t="shared" si="91"/>
        <v/>
      </c>
      <c r="V161" s="1" t="str">
        <f t="shared" si="92"/>
        <v/>
      </c>
      <c r="W161" s="1" t="str">
        <f t="shared" si="93"/>
        <v/>
      </c>
      <c r="X161" s="1" t="str">
        <f t="shared" si="94"/>
        <v/>
      </c>
      <c r="Y161" s="1" t="str">
        <f t="shared" si="95"/>
        <v/>
      </c>
      <c r="Z161" s="1" t="str">
        <f t="shared" si="96"/>
        <v/>
      </c>
      <c r="AA161" s="1" t="str">
        <f t="shared" si="97"/>
        <v/>
      </c>
      <c r="AB161" s="1" t="str">
        <f t="shared" si="98"/>
        <v/>
      </c>
      <c r="AC161" s="1" t="str">
        <f t="shared" si="99"/>
        <v/>
      </c>
      <c r="AD161" s="1" t="str">
        <f t="shared" si="100"/>
        <v/>
      </c>
    </row>
    <row r="162" spans="3:30">
      <c r="C162" s="1"/>
      <c r="D162" s="1" t="str">
        <f t="shared" si="101"/>
        <v/>
      </c>
      <c r="F162" s="1"/>
      <c r="G162" s="1" t="str">
        <f t="shared" si="84"/>
        <v/>
      </c>
      <c r="H162" s="7" t="str">
        <f t="shared" si="103"/>
        <v/>
      </c>
      <c r="I162"/>
      <c r="J162" s="1" t="str">
        <f t="shared" si="85"/>
        <v/>
      </c>
      <c r="K162" s="1" t="str">
        <f t="shared" si="104"/>
        <v/>
      </c>
      <c r="L162" s="1"/>
      <c r="M162" t="str">
        <f t="shared" si="86"/>
        <v/>
      </c>
      <c r="N162" s="1" t="str">
        <f t="shared" si="102"/>
        <v/>
      </c>
      <c r="Q162" s="1" t="str">
        <f t="shared" si="87"/>
        <v/>
      </c>
      <c r="R162" s="1" t="str">
        <f t="shared" si="88"/>
        <v/>
      </c>
      <c r="S162" s="1" t="str">
        <f t="shared" si="89"/>
        <v/>
      </c>
      <c r="T162" s="1" t="str">
        <f t="shared" si="90"/>
        <v/>
      </c>
      <c r="U162" s="1" t="str">
        <f t="shared" si="91"/>
        <v/>
      </c>
      <c r="V162" s="1" t="str">
        <f t="shared" si="92"/>
        <v/>
      </c>
      <c r="W162" s="1" t="str">
        <f t="shared" si="93"/>
        <v/>
      </c>
      <c r="X162" s="1" t="str">
        <f t="shared" si="94"/>
        <v/>
      </c>
      <c r="Y162" s="1" t="str">
        <f t="shared" si="95"/>
        <v/>
      </c>
      <c r="Z162" s="1" t="str">
        <f t="shared" si="96"/>
        <v/>
      </c>
      <c r="AA162" s="1" t="str">
        <f t="shared" si="97"/>
        <v/>
      </c>
      <c r="AB162" s="1" t="str">
        <f t="shared" si="98"/>
        <v/>
      </c>
      <c r="AC162" s="1" t="str">
        <f t="shared" si="99"/>
        <v/>
      </c>
      <c r="AD162" s="1" t="str">
        <f t="shared" si="100"/>
        <v/>
      </c>
    </row>
    <row r="163" spans="3:30">
      <c r="C163" s="1"/>
      <c r="D163" s="1" t="str">
        <f t="shared" si="101"/>
        <v/>
      </c>
      <c r="F163" s="1"/>
      <c r="G163" s="1" t="str">
        <f t="shared" si="84"/>
        <v/>
      </c>
      <c r="H163" s="7" t="str">
        <f t="shared" si="103"/>
        <v/>
      </c>
      <c r="I163"/>
      <c r="J163" s="1" t="str">
        <f t="shared" si="85"/>
        <v/>
      </c>
      <c r="K163" s="1" t="str">
        <f t="shared" si="104"/>
        <v/>
      </c>
      <c r="L163" s="1"/>
      <c r="M163" t="str">
        <f t="shared" si="86"/>
        <v/>
      </c>
      <c r="N163" s="1" t="str">
        <f t="shared" si="102"/>
        <v/>
      </c>
      <c r="Q163" s="1" t="str">
        <f t="shared" si="87"/>
        <v/>
      </c>
      <c r="R163" s="1" t="str">
        <f t="shared" si="88"/>
        <v/>
      </c>
      <c r="S163" s="1" t="str">
        <f t="shared" si="89"/>
        <v/>
      </c>
      <c r="T163" s="1" t="str">
        <f t="shared" si="90"/>
        <v/>
      </c>
      <c r="U163" s="1" t="str">
        <f t="shared" si="91"/>
        <v/>
      </c>
      <c r="V163" s="1" t="str">
        <f t="shared" si="92"/>
        <v/>
      </c>
      <c r="W163" s="1" t="str">
        <f t="shared" si="93"/>
        <v/>
      </c>
      <c r="X163" s="1" t="str">
        <f t="shared" si="94"/>
        <v/>
      </c>
      <c r="Y163" s="1" t="str">
        <f t="shared" si="95"/>
        <v/>
      </c>
      <c r="Z163" s="1" t="str">
        <f t="shared" si="96"/>
        <v/>
      </c>
      <c r="AA163" s="1" t="str">
        <f t="shared" si="97"/>
        <v/>
      </c>
      <c r="AB163" s="1" t="str">
        <f t="shared" si="98"/>
        <v/>
      </c>
      <c r="AC163" s="1" t="str">
        <f t="shared" si="99"/>
        <v/>
      </c>
      <c r="AD163" s="1" t="str">
        <f t="shared" si="100"/>
        <v/>
      </c>
    </row>
    <row r="164" spans="3:30">
      <c r="C164" s="1"/>
      <c r="D164" s="1" t="str">
        <f t="shared" si="101"/>
        <v/>
      </c>
      <c r="F164" s="1"/>
      <c r="G164" s="1" t="str">
        <f t="shared" si="84"/>
        <v/>
      </c>
      <c r="H164" s="7" t="str">
        <f t="shared" si="103"/>
        <v/>
      </c>
      <c r="I164"/>
      <c r="J164" s="1" t="str">
        <f t="shared" si="85"/>
        <v/>
      </c>
      <c r="K164" s="1" t="str">
        <f t="shared" si="104"/>
        <v/>
      </c>
      <c r="L164" s="1"/>
      <c r="M164" t="str">
        <f t="shared" si="86"/>
        <v/>
      </c>
      <c r="N164" s="1" t="str">
        <f t="shared" si="102"/>
        <v/>
      </c>
      <c r="Q164" s="1" t="str">
        <f t="shared" si="87"/>
        <v/>
      </c>
      <c r="R164" s="1" t="str">
        <f t="shared" si="88"/>
        <v/>
      </c>
      <c r="S164" s="1" t="str">
        <f t="shared" si="89"/>
        <v/>
      </c>
      <c r="T164" s="1" t="str">
        <f t="shared" si="90"/>
        <v/>
      </c>
      <c r="U164" s="1" t="str">
        <f t="shared" si="91"/>
        <v/>
      </c>
      <c r="V164" s="1" t="str">
        <f t="shared" si="92"/>
        <v/>
      </c>
      <c r="W164" s="1" t="str">
        <f t="shared" si="93"/>
        <v/>
      </c>
      <c r="X164" s="1" t="str">
        <f t="shared" si="94"/>
        <v/>
      </c>
      <c r="Y164" s="1" t="str">
        <f t="shared" si="95"/>
        <v/>
      </c>
      <c r="Z164" s="1" t="str">
        <f t="shared" si="96"/>
        <v/>
      </c>
      <c r="AA164" s="1" t="str">
        <f t="shared" si="97"/>
        <v/>
      </c>
      <c r="AB164" s="1" t="str">
        <f t="shared" si="98"/>
        <v/>
      </c>
      <c r="AC164" s="1" t="str">
        <f t="shared" si="99"/>
        <v/>
      </c>
      <c r="AD164" s="1" t="str">
        <f t="shared" si="100"/>
        <v/>
      </c>
    </row>
    <row r="165" spans="3:30">
      <c r="C165" s="1"/>
      <c r="D165" s="1" t="str">
        <f t="shared" si="101"/>
        <v/>
      </c>
      <c r="F165" s="1"/>
      <c r="G165" s="1" t="str">
        <f t="shared" si="84"/>
        <v/>
      </c>
      <c r="H165" s="7" t="str">
        <f t="shared" si="103"/>
        <v/>
      </c>
      <c r="I165"/>
      <c r="J165" s="1" t="str">
        <f t="shared" si="85"/>
        <v/>
      </c>
      <c r="K165" s="1" t="str">
        <f t="shared" si="104"/>
        <v/>
      </c>
      <c r="L165" s="1"/>
      <c r="M165" t="str">
        <f t="shared" si="86"/>
        <v/>
      </c>
      <c r="N165" s="1" t="str">
        <f t="shared" si="102"/>
        <v/>
      </c>
      <c r="Q165" s="1" t="str">
        <f t="shared" si="87"/>
        <v/>
      </c>
      <c r="R165" s="1" t="str">
        <f t="shared" si="88"/>
        <v/>
      </c>
      <c r="S165" s="1" t="str">
        <f t="shared" si="89"/>
        <v/>
      </c>
      <c r="T165" s="1" t="str">
        <f t="shared" si="90"/>
        <v/>
      </c>
      <c r="U165" s="1" t="str">
        <f t="shared" si="91"/>
        <v/>
      </c>
      <c r="V165" s="1" t="str">
        <f t="shared" si="92"/>
        <v/>
      </c>
      <c r="W165" s="1" t="str">
        <f t="shared" si="93"/>
        <v/>
      </c>
      <c r="X165" s="1" t="str">
        <f t="shared" si="94"/>
        <v/>
      </c>
      <c r="Y165" s="1" t="str">
        <f t="shared" si="95"/>
        <v/>
      </c>
      <c r="Z165" s="1" t="str">
        <f t="shared" si="96"/>
        <v/>
      </c>
      <c r="AA165" s="1" t="str">
        <f t="shared" si="97"/>
        <v/>
      </c>
      <c r="AB165" s="1" t="str">
        <f t="shared" si="98"/>
        <v/>
      </c>
      <c r="AC165" s="1" t="str">
        <f t="shared" si="99"/>
        <v/>
      </c>
      <c r="AD165" s="1" t="str">
        <f t="shared" si="100"/>
        <v/>
      </c>
    </row>
    <row r="166" spans="3:30">
      <c r="C166" s="1"/>
      <c r="D166" s="1" t="str">
        <f t="shared" si="101"/>
        <v/>
      </c>
      <c r="F166" s="1"/>
      <c r="G166" s="1" t="str">
        <f t="shared" ref="G166:G204" si="105">IF($A166="","",1)</f>
        <v/>
      </c>
      <c r="H166" s="7" t="str">
        <f t="shared" si="103"/>
        <v/>
      </c>
      <c r="I166"/>
      <c r="J166" s="1" t="str">
        <f t="shared" ref="J166:J204" si="106">IF($A166="","",0)</f>
        <v/>
      </c>
      <c r="K166" s="1" t="str">
        <f t="shared" si="104"/>
        <v/>
      </c>
      <c r="L166" s="1"/>
      <c r="M166" t="str">
        <f t="shared" ref="M166:M204" si="107">IF(L166=1,1,IF(L166="","",0))</f>
        <v/>
      </c>
      <c r="N166" s="1" t="str">
        <f t="shared" si="102"/>
        <v/>
      </c>
      <c r="Q166" s="1" t="str">
        <f t="shared" ref="Q166:Q204" si="108">IF($A166="","",0)</f>
        <v/>
      </c>
      <c r="R166" s="1" t="str">
        <f t="shared" ref="R166:R204" si="109">IF($A166="","",-1)</f>
        <v/>
      </c>
      <c r="S166" s="1" t="str">
        <f t="shared" ref="S166:S204" si="110">IF($A166="","",-1)</f>
        <v/>
      </c>
      <c r="T166" s="1" t="str">
        <f t="shared" ref="T166:T204" si="111">IF($A166="","",1400)</f>
        <v/>
      </c>
      <c r="U166" s="1" t="str">
        <f t="shared" ref="U166:U204" si="112">IF($A166="","",0)</f>
        <v/>
      </c>
      <c r="V166" s="1" t="str">
        <f t="shared" ref="V166:V204" si="113">IF($A166="","",-1)</f>
        <v/>
      </c>
      <c r="W166" s="1" t="str">
        <f t="shared" ref="W166:W204" si="114">IF($A166="","",-1)</f>
        <v/>
      </c>
      <c r="X166" s="1" t="str">
        <f t="shared" ref="X166:X204" si="115">IF($A166="","",1)</f>
        <v/>
      </c>
      <c r="Y166" s="1" t="str">
        <f t="shared" ref="Y166:Y204" si="116">IF($A166="","",-1)</f>
        <v/>
      </c>
      <c r="Z166" s="1" t="str">
        <f t="shared" ref="Z166:Z204" si="117">IF($A166="","",-1)</f>
        <v/>
      </c>
      <c r="AA166" s="1" t="str">
        <f t="shared" ref="AA166:AA204" si="118">IF($A166="","",-1)</f>
        <v/>
      </c>
      <c r="AB166" s="1" t="str">
        <f t="shared" ref="AB166:AB204" si="119">IF($A166="","",-1)</f>
        <v/>
      </c>
      <c r="AC166" s="1" t="str">
        <f t="shared" ref="AC166:AC204" si="120">IF($A166="","",-1)</f>
        <v/>
      </c>
      <c r="AD166" s="1" t="str">
        <f t="shared" ref="AD166:AD204" si="121">IF($A166="","",1)</f>
        <v/>
      </c>
    </row>
    <row r="167" spans="3:30">
      <c r="C167" s="1"/>
      <c r="D167" s="1" t="str">
        <f t="shared" ref="D167:D204" si="122">IF($A167="","",-1)</f>
        <v/>
      </c>
      <c r="F167" s="1"/>
      <c r="G167" s="1" t="str">
        <f t="shared" si="105"/>
        <v/>
      </c>
      <c r="H167" s="7" t="str">
        <f t="shared" si="103"/>
        <v/>
      </c>
      <c r="I167"/>
      <c r="J167" s="1" t="str">
        <f t="shared" si="106"/>
        <v/>
      </c>
      <c r="K167" s="1" t="str">
        <f t="shared" si="104"/>
        <v/>
      </c>
      <c r="L167" s="1"/>
      <c r="M167" t="str">
        <f t="shared" si="107"/>
        <v/>
      </c>
      <c r="N167" s="1" t="str">
        <f t="shared" ref="N167:N204" si="123">IF(L167=1,0,IF(L167="","",1))</f>
        <v/>
      </c>
      <c r="Q167" s="1" t="str">
        <f t="shared" si="108"/>
        <v/>
      </c>
      <c r="R167" s="1" t="str">
        <f t="shared" si="109"/>
        <v/>
      </c>
      <c r="S167" s="1" t="str">
        <f t="shared" si="110"/>
        <v/>
      </c>
      <c r="T167" s="1" t="str">
        <f t="shared" si="111"/>
        <v/>
      </c>
      <c r="U167" s="1" t="str">
        <f t="shared" si="112"/>
        <v/>
      </c>
      <c r="V167" s="1" t="str">
        <f t="shared" si="113"/>
        <v/>
      </c>
      <c r="W167" s="1" t="str">
        <f t="shared" si="114"/>
        <v/>
      </c>
      <c r="X167" s="1" t="str">
        <f t="shared" si="115"/>
        <v/>
      </c>
      <c r="Y167" s="1" t="str">
        <f t="shared" si="116"/>
        <v/>
      </c>
      <c r="Z167" s="1" t="str">
        <f t="shared" si="117"/>
        <v/>
      </c>
      <c r="AA167" s="1" t="str">
        <f t="shared" si="118"/>
        <v/>
      </c>
      <c r="AB167" s="1" t="str">
        <f t="shared" si="119"/>
        <v/>
      </c>
      <c r="AC167" s="1" t="str">
        <f t="shared" si="120"/>
        <v/>
      </c>
      <c r="AD167" s="1" t="str">
        <f t="shared" si="121"/>
        <v/>
      </c>
    </row>
    <row r="168" spans="3:30">
      <c r="C168" s="1"/>
      <c r="D168" s="1" t="str">
        <f t="shared" si="122"/>
        <v/>
      </c>
      <c r="F168" s="1"/>
      <c r="G168" s="1" t="str">
        <f t="shared" si="105"/>
        <v/>
      </c>
      <c r="H168" s="7" t="str">
        <f t="shared" si="103"/>
        <v/>
      </c>
      <c r="I168"/>
      <c r="J168" s="1" t="str">
        <f t="shared" si="106"/>
        <v/>
      </c>
      <c r="K168" s="1" t="str">
        <f t="shared" si="104"/>
        <v/>
      </c>
      <c r="L168" s="1"/>
      <c r="M168" t="str">
        <f t="shared" si="107"/>
        <v/>
      </c>
      <c r="N168" s="1" t="str">
        <f t="shared" si="123"/>
        <v/>
      </c>
      <c r="Q168" s="1" t="str">
        <f t="shared" si="108"/>
        <v/>
      </c>
      <c r="R168" s="1" t="str">
        <f t="shared" si="109"/>
        <v/>
      </c>
      <c r="S168" s="1" t="str">
        <f t="shared" si="110"/>
        <v/>
      </c>
      <c r="T168" s="1" t="str">
        <f t="shared" si="111"/>
        <v/>
      </c>
      <c r="U168" s="1" t="str">
        <f t="shared" si="112"/>
        <v/>
      </c>
      <c r="V168" s="1" t="str">
        <f t="shared" si="113"/>
        <v/>
      </c>
      <c r="W168" s="1" t="str">
        <f t="shared" si="114"/>
        <v/>
      </c>
      <c r="X168" s="1" t="str">
        <f t="shared" si="115"/>
        <v/>
      </c>
      <c r="Y168" s="1" t="str">
        <f t="shared" si="116"/>
        <v/>
      </c>
      <c r="Z168" s="1" t="str">
        <f t="shared" si="117"/>
        <v/>
      </c>
      <c r="AA168" s="1" t="str">
        <f t="shared" si="118"/>
        <v/>
      </c>
      <c r="AB168" s="1" t="str">
        <f t="shared" si="119"/>
        <v/>
      </c>
      <c r="AC168" s="1" t="str">
        <f t="shared" si="120"/>
        <v/>
      </c>
      <c r="AD168" s="1" t="str">
        <f t="shared" si="121"/>
        <v/>
      </c>
    </row>
    <row r="169" spans="3:30">
      <c r="C169" s="1"/>
      <c r="D169" s="1" t="str">
        <f t="shared" si="122"/>
        <v/>
      </c>
      <c r="F169" s="1"/>
      <c r="G169" s="1" t="str">
        <f t="shared" si="105"/>
        <v/>
      </c>
      <c r="H169" s="7" t="str">
        <f t="shared" si="103"/>
        <v/>
      </c>
      <c r="I169"/>
      <c r="J169" s="1" t="str">
        <f t="shared" si="106"/>
        <v/>
      </c>
      <c r="K169" s="1" t="str">
        <f t="shared" si="104"/>
        <v/>
      </c>
      <c r="L169" s="1"/>
      <c r="M169" t="str">
        <f t="shared" si="107"/>
        <v/>
      </c>
      <c r="N169" s="1" t="str">
        <f t="shared" si="123"/>
        <v/>
      </c>
      <c r="Q169" s="1" t="str">
        <f t="shared" si="108"/>
        <v/>
      </c>
      <c r="R169" s="1" t="str">
        <f t="shared" si="109"/>
        <v/>
      </c>
      <c r="S169" s="1" t="str">
        <f t="shared" si="110"/>
        <v/>
      </c>
      <c r="T169" s="1" t="str">
        <f t="shared" si="111"/>
        <v/>
      </c>
      <c r="U169" s="1" t="str">
        <f t="shared" si="112"/>
        <v/>
      </c>
      <c r="V169" s="1" t="str">
        <f t="shared" si="113"/>
        <v/>
      </c>
      <c r="W169" s="1" t="str">
        <f t="shared" si="114"/>
        <v/>
      </c>
      <c r="X169" s="1" t="str">
        <f t="shared" si="115"/>
        <v/>
      </c>
      <c r="Y169" s="1" t="str">
        <f t="shared" si="116"/>
        <v/>
      </c>
      <c r="Z169" s="1" t="str">
        <f t="shared" si="117"/>
        <v/>
      </c>
      <c r="AA169" s="1" t="str">
        <f t="shared" si="118"/>
        <v/>
      </c>
      <c r="AB169" s="1" t="str">
        <f t="shared" si="119"/>
        <v/>
      </c>
      <c r="AC169" s="1" t="str">
        <f t="shared" si="120"/>
        <v/>
      </c>
      <c r="AD169" s="1" t="str">
        <f t="shared" si="121"/>
        <v/>
      </c>
    </row>
    <row r="170" spans="3:30">
      <c r="C170" s="1"/>
      <c r="D170" s="1" t="str">
        <f t="shared" si="122"/>
        <v/>
      </c>
      <c r="F170" s="1"/>
      <c r="G170" s="1" t="str">
        <f t="shared" si="105"/>
        <v/>
      </c>
      <c r="H170" s="7" t="str">
        <f t="shared" si="103"/>
        <v/>
      </c>
      <c r="I170"/>
      <c r="J170" s="1" t="str">
        <f t="shared" si="106"/>
        <v/>
      </c>
      <c r="K170" s="1" t="str">
        <f t="shared" si="104"/>
        <v/>
      </c>
      <c r="L170" s="1"/>
      <c r="M170" t="str">
        <f t="shared" si="107"/>
        <v/>
      </c>
      <c r="N170" s="1" t="str">
        <f t="shared" si="123"/>
        <v/>
      </c>
      <c r="Q170" s="1" t="str">
        <f t="shared" si="108"/>
        <v/>
      </c>
      <c r="R170" s="1" t="str">
        <f t="shared" si="109"/>
        <v/>
      </c>
      <c r="S170" s="1" t="str">
        <f t="shared" si="110"/>
        <v/>
      </c>
      <c r="T170" s="1" t="str">
        <f t="shared" si="111"/>
        <v/>
      </c>
      <c r="U170" s="1" t="str">
        <f t="shared" si="112"/>
        <v/>
      </c>
      <c r="V170" s="1" t="str">
        <f t="shared" si="113"/>
        <v/>
      </c>
      <c r="W170" s="1" t="str">
        <f t="shared" si="114"/>
        <v/>
      </c>
      <c r="X170" s="1" t="str">
        <f t="shared" si="115"/>
        <v/>
      </c>
      <c r="Y170" s="1" t="str">
        <f t="shared" si="116"/>
        <v/>
      </c>
      <c r="Z170" s="1" t="str">
        <f t="shared" si="117"/>
        <v/>
      </c>
      <c r="AA170" s="1" t="str">
        <f t="shared" si="118"/>
        <v/>
      </c>
      <c r="AB170" s="1" t="str">
        <f t="shared" si="119"/>
        <v/>
      </c>
      <c r="AC170" s="1" t="str">
        <f t="shared" si="120"/>
        <v/>
      </c>
      <c r="AD170" s="1" t="str">
        <f t="shared" si="121"/>
        <v/>
      </c>
    </row>
    <row r="171" spans="3:30">
      <c r="C171" s="1"/>
      <c r="D171" s="1" t="str">
        <f t="shared" si="122"/>
        <v/>
      </c>
      <c r="F171" s="1"/>
      <c r="G171" s="1" t="str">
        <f t="shared" si="105"/>
        <v/>
      </c>
      <c r="H171" s="7" t="str">
        <f t="shared" ref="H171:H204" si="124">IF($A171="","",4)</f>
        <v/>
      </c>
      <c r="I171"/>
      <c r="J171" s="1" t="str">
        <f t="shared" si="106"/>
        <v/>
      </c>
      <c r="K171" s="1" t="str">
        <f t="shared" ref="K171:K204" si="125">IF($A171="","",0)</f>
        <v/>
      </c>
      <c r="L171" s="1"/>
      <c r="M171" t="str">
        <f t="shared" si="107"/>
        <v/>
      </c>
      <c r="N171" s="1" t="str">
        <f t="shared" si="123"/>
        <v/>
      </c>
      <c r="Q171" s="1" t="str">
        <f t="shared" si="108"/>
        <v/>
      </c>
      <c r="R171" s="1" t="str">
        <f t="shared" si="109"/>
        <v/>
      </c>
      <c r="S171" s="1" t="str">
        <f t="shared" si="110"/>
        <v/>
      </c>
      <c r="T171" s="1" t="str">
        <f t="shared" si="111"/>
        <v/>
      </c>
      <c r="U171" s="1" t="str">
        <f t="shared" si="112"/>
        <v/>
      </c>
      <c r="V171" s="1" t="str">
        <f t="shared" si="113"/>
        <v/>
      </c>
      <c r="W171" s="1" t="str">
        <f t="shared" si="114"/>
        <v/>
      </c>
      <c r="X171" s="1" t="str">
        <f t="shared" si="115"/>
        <v/>
      </c>
      <c r="Y171" s="1" t="str">
        <f t="shared" si="116"/>
        <v/>
      </c>
      <c r="Z171" s="1" t="str">
        <f t="shared" si="117"/>
        <v/>
      </c>
      <c r="AA171" s="1" t="str">
        <f t="shared" si="118"/>
        <v/>
      </c>
      <c r="AB171" s="1" t="str">
        <f t="shared" si="119"/>
        <v/>
      </c>
      <c r="AC171" s="1" t="str">
        <f t="shared" si="120"/>
        <v/>
      </c>
      <c r="AD171" s="1" t="str">
        <f t="shared" si="121"/>
        <v/>
      </c>
    </row>
    <row r="172" spans="3:30">
      <c r="C172" s="1"/>
      <c r="D172" s="1" t="str">
        <f t="shared" si="122"/>
        <v/>
      </c>
      <c r="F172" s="1"/>
      <c r="G172" s="1" t="str">
        <f t="shared" si="105"/>
        <v/>
      </c>
      <c r="H172" s="7" t="str">
        <f t="shared" si="124"/>
        <v/>
      </c>
      <c r="I172"/>
      <c r="J172" s="1" t="str">
        <f t="shared" si="106"/>
        <v/>
      </c>
      <c r="K172" s="1" t="str">
        <f t="shared" si="125"/>
        <v/>
      </c>
      <c r="L172" s="1"/>
      <c r="M172" t="str">
        <f t="shared" si="107"/>
        <v/>
      </c>
      <c r="N172" s="1" t="str">
        <f t="shared" si="123"/>
        <v/>
      </c>
      <c r="Q172" s="1" t="str">
        <f t="shared" si="108"/>
        <v/>
      </c>
      <c r="R172" s="1" t="str">
        <f t="shared" si="109"/>
        <v/>
      </c>
      <c r="S172" s="1" t="str">
        <f t="shared" si="110"/>
        <v/>
      </c>
      <c r="T172" s="1" t="str">
        <f t="shared" si="111"/>
        <v/>
      </c>
      <c r="U172" s="1" t="str">
        <f t="shared" si="112"/>
        <v/>
      </c>
      <c r="V172" s="1" t="str">
        <f t="shared" si="113"/>
        <v/>
      </c>
      <c r="W172" s="1" t="str">
        <f t="shared" si="114"/>
        <v/>
      </c>
      <c r="X172" s="1" t="str">
        <f t="shared" si="115"/>
        <v/>
      </c>
      <c r="Y172" s="1" t="str">
        <f t="shared" si="116"/>
        <v/>
      </c>
      <c r="Z172" s="1" t="str">
        <f t="shared" si="117"/>
        <v/>
      </c>
      <c r="AA172" s="1" t="str">
        <f t="shared" si="118"/>
        <v/>
      </c>
      <c r="AB172" s="1" t="str">
        <f t="shared" si="119"/>
        <v/>
      </c>
      <c r="AC172" s="1" t="str">
        <f t="shared" si="120"/>
        <v/>
      </c>
      <c r="AD172" s="1" t="str">
        <f t="shared" si="121"/>
        <v/>
      </c>
    </row>
    <row r="173" spans="3:30">
      <c r="C173" s="1"/>
      <c r="D173" s="1" t="str">
        <f t="shared" si="122"/>
        <v/>
      </c>
      <c r="F173" s="1"/>
      <c r="G173" s="1" t="str">
        <f t="shared" si="105"/>
        <v/>
      </c>
      <c r="H173" s="7" t="str">
        <f t="shared" si="124"/>
        <v/>
      </c>
      <c r="I173"/>
      <c r="J173" s="1" t="str">
        <f t="shared" si="106"/>
        <v/>
      </c>
      <c r="K173" s="1" t="str">
        <f t="shared" si="125"/>
        <v/>
      </c>
      <c r="L173" s="1"/>
      <c r="M173" t="str">
        <f t="shared" si="107"/>
        <v/>
      </c>
      <c r="N173" s="1" t="str">
        <f t="shared" si="123"/>
        <v/>
      </c>
      <c r="Q173" s="1" t="str">
        <f t="shared" si="108"/>
        <v/>
      </c>
      <c r="R173" s="1" t="str">
        <f t="shared" si="109"/>
        <v/>
      </c>
      <c r="S173" s="1" t="str">
        <f t="shared" si="110"/>
        <v/>
      </c>
      <c r="T173" s="1" t="str">
        <f t="shared" si="111"/>
        <v/>
      </c>
      <c r="U173" s="1" t="str">
        <f t="shared" si="112"/>
        <v/>
      </c>
      <c r="V173" s="1" t="str">
        <f t="shared" si="113"/>
        <v/>
      </c>
      <c r="W173" s="1" t="str">
        <f t="shared" si="114"/>
        <v/>
      </c>
      <c r="X173" s="1" t="str">
        <f t="shared" si="115"/>
        <v/>
      </c>
      <c r="Y173" s="1" t="str">
        <f t="shared" si="116"/>
        <v/>
      </c>
      <c r="Z173" s="1" t="str">
        <f t="shared" si="117"/>
        <v/>
      </c>
      <c r="AA173" s="1" t="str">
        <f t="shared" si="118"/>
        <v/>
      </c>
      <c r="AB173" s="1" t="str">
        <f t="shared" si="119"/>
        <v/>
      </c>
      <c r="AC173" s="1" t="str">
        <f t="shared" si="120"/>
        <v/>
      </c>
      <c r="AD173" s="1" t="str">
        <f t="shared" si="121"/>
        <v/>
      </c>
    </row>
    <row r="174" spans="3:30">
      <c r="C174" s="1"/>
      <c r="D174" s="1" t="str">
        <f t="shared" si="122"/>
        <v/>
      </c>
      <c r="F174" s="1"/>
      <c r="G174" s="1" t="str">
        <f t="shared" si="105"/>
        <v/>
      </c>
      <c r="H174" s="7" t="str">
        <f t="shared" si="124"/>
        <v/>
      </c>
      <c r="I174"/>
      <c r="J174" s="1" t="str">
        <f t="shared" si="106"/>
        <v/>
      </c>
      <c r="K174" s="1" t="str">
        <f t="shared" si="125"/>
        <v/>
      </c>
      <c r="L174" s="1"/>
      <c r="M174" t="str">
        <f t="shared" si="107"/>
        <v/>
      </c>
      <c r="N174" s="1" t="str">
        <f t="shared" si="123"/>
        <v/>
      </c>
      <c r="Q174" s="1" t="str">
        <f t="shared" si="108"/>
        <v/>
      </c>
      <c r="R174" s="1" t="str">
        <f t="shared" si="109"/>
        <v/>
      </c>
      <c r="S174" s="1" t="str">
        <f t="shared" si="110"/>
        <v/>
      </c>
      <c r="T174" s="1" t="str">
        <f t="shared" si="111"/>
        <v/>
      </c>
      <c r="U174" s="1" t="str">
        <f t="shared" si="112"/>
        <v/>
      </c>
      <c r="V174" s="1" t="str">
        <f t="shared" si="113"/>
        <v/>
      </c>
      <c r="W174" s="1" t="str">
        <f t="shared" si="114"/>
        <v/>
      </c>
      <c r="X174" s="1" t="str">
        <f t="shared" si="115"/>
        <v/>
      </c>
      <c r="Y174" s="1" t="str">
        <f t="shared" si="116"/>
        <v/>
      </c>
      <c r="Z174" s="1" t="str">
        <f t="shared" si="117"/>
        <v/>
      </c>
      <c r="AA174" s="1" t="str">
        <f t="shared" si="118"/>
        <v/>
      </c>
      <c r="AB174" s="1" t="str">
        <f t="shared" si="119"/>
        <v/>
      </c>
      <c r="AC174" s="1" t="str">
        <f t="shared" si="120"/>
        <v/>
      </c>
      <c r="AD174" s="1" t="str">
        <f t="shared" si="121"/>
        <v/>
      </c>
    </row>
    <row r="175" spans="3:30">
      <c r="C175" s="1"/>
      <c r="D175" s="1" t="str">
        <f t="shared" si="122"/>
        <v/>
      </c>
      <c r="F175" s="1"/>
      <c r="G175" s="1" t="str">
        <f t="shared" si="105"/>
        <v/>
      </c>
      <c r="H175" s="7" t="str">
        <f t="shared" si="124"/>
        <v/>
      </c>
      <c r="I175"/>
      <c r="J175" s="1" t="str">
        <f t="shared" si="106"/>
        <v/>
      </c>
      <c r="K175" s="1" t="str">
        <f t="shared" si="125"/>
        <v/>
      </c>
      <c r="L175" s="1"/>
      <c r="M175" t="str">
        <f t="shared" si="107"/>
        <v/>
      </c>
      <c r="N175" s="1" t="str">
        <f t="shared" si="123"/>
        <v/>
      </c>
      <c r="Q175" s="1" t="str">
        <f t="shared" si="108"/>
        <v/>
      </c>
      <c r="R175" s="1" t="str">
        <f t="shared" si="109"/>
        <v/>
      </c>
      <c r="S175" s="1" t="str">
        <f t="shared" si="110"/>
        <v/>
      </c>
      <c r="T175" s="1" t="str">
        <f t="shared" si="111"/>
        <v/>
      </c>
      <c r="U175" s="1" t="str">
        <f t="shared" si="112"/>
        <v/>
      </c>
      <c r="V175" s="1" t="str">
        <f t="shared" si="113"/>
        <v/>
      </c>
      <c r="W175" s="1" t="str">
        <f t="shared" si="114"/>
        <v/>
      </c>
      <c r="X175" s="1" t="str">
        <f t="shared" si="115"/>
        <v/>
      </c>
      <c r="Y175" s="1" t="str">
        <f t="shared" si="116"/>
        <v/>
      </c>
      <c r="Z175" s="1" t="str">
        <f t="shared" si="117"/>
        <v/>
      </c>
      <c r="AA175" s="1" t="str">
        <f t="shared" si="118"/>
        <v/>
      </c>
      <c r="AB175" s="1" t="str">
        <f t="shared" si="119"/>
        <v/>
      </c>
      <c r="AC175" s="1" t="str">
        <f t="shared" si="120"/>
        <v/>
      </c>
      <c r="AD175" s="1" t="str">
        <f t="shared" si="121"/>
        <v/>
      </c>
    </row>
    <row r="176" spans="3:30">
      <c r="C176" s="1"/>
      <c r="D176" s="1" t="str">
        <f t="shared" si="122"/>
        <v/>
      </c>
      <c r="F176" s="1"/>
      <c r="G176" s="1" t="str">
        <f t="shared" si="105"/>
        <v/>
      </c>
      <c r="H176" s="7" t="str">
        <f t="shared" si="124"/>
        <v/>
      </c>
      <c r="I176"/>
      <c r="J176" s="1" t="str">
        <f t="shared" si="106"/>
        <v/>
      </c>
      <c r="K176" s="1" t="str">
        <f t="shared" si="125"/>
        <v/>
      </c>
      <c r="L176" s="1"/>
      <c r="M176" t="str">
        <f t="shared" si="107"/>
        <v/>
      </c>
      <c r="N176" s="1" t="str">
        <f t="shared" si="123"/>
        <v/>
      </c>
      <c r="Q176" s="1" t="str">
        <f t="shared" si="108"/>
        <v/>
      </c>
      <c r="R176" s="1" t="str">
        <f t="shared" si="109"/>
        <v/>
      </c>
      <c r="S176" s="1" t="str">
        <f t="shared" si="110"/>
        <v/>
      </c>
      <c r="T176" s="1" t="str">
        <f t="shared" si="111"/>
        <v/>
      </c>
      <c r="U176" s="1" t="str">
        <f t="shared" si="112"/>
        <v/>
      </c>
      <c r="V176" s="1" t="str">
        <f t="shared" si="113"/>
        <v/>
      </c>
      <c r="W176" s="1" t="str">
        <f t="shared" si="114"/>
        <v/>
      </c>
      <c r="X176" s="1" t="str">
        <f t="shared" si="115"/>
        <v/>
      </c>
      <c r="Y176" s="1" t="str">
        <f t="shared" si="116"/>
        <v/>
      </c>
      <c r="Z176" s="1" t="str">
        <f t="shared" si="117"/>
        <v/>
      </c>
      <c r="AA176" s="1" t="str">
        <f t="shared" si="118"/>
        <v/>
      </c>
      <c r="AB176" s="1" t="str">
        <f t="shared" si="119"/>
        <v/>
      </c>
      <c r="AC176" s="1" t="str">
        <f t="shared" si="120"/>
        <v/>
      </c>
      <c r="AD176" s="1" t="str">
        <f t="shared" si="121"/>
        <v/>
      </c>
    </row>
    <row r="177" spans="3:30">
      <c r="C177" s="1"/>
      <c r="D177" s="1" t="str">
        <f t="shared" si="122"/>
        <v/>
      </c>
      <c r="F177" s="1"/>
      <c r="G177" s="1" t="str">
        <f t="shared" si="105"/>
        <v/>
      </c>
      <c r="H177" s="7" t="str">
        <f t="shared" si="124"/>
        <v/>
      </c>
      <c r="I177"/>
      <c r="J177" s="1" t="str">
        <f t="shared" si="106"/>
        <v/>
      </c>
      <c r="K177" s="1" t="str">
        <f t="shared" si="125"/>
        <v/>
      </c>
      <c r="L177" s="1"/>
      <c r="M177" t="str">
        <f t="shared" si="107"/>
        <v/>
      </c>
      <c r="N177" s="1" t="str">
        <f t="shared" si="123"/>
        <v/>
      </c>
      <c r="Q177" s="1" t="str">
        <f t="shared" si="108"/>
        <v/>
      </c>
      <c r="R177" s="1" t="str">
        <f t="shared" si="109"/>
        <v/>
      </c>
      <c r="S177" s="1" t="str">
        <f t="shared" si="110"/>
        <v/>
      </c>
      <c r="T177" s="1" t="str">
        <f t="shared" si="111"/>
        <v/>
      </c>
      <c r="U177" s="1" t="str">
        <f t="shared" si="112"/>
        <v/>
      </c>
      <c r="V177" s="1" t="str">
        <f t="shared" si="113"/>
        <v/>
      </c>
      <c r="W177" s="1" t="str">
        <f t="shared" si="114"/>
        <v/>
      </c>
      <c r="X177" s="1" t="str">
        <f t="shared" si="115"/>
        <v/>
      </c>
      <c r="Y177" s="1" t="str">
        <f t="shared" si="116"/>
        <v/>
      </c>
      <c r="Z177" s="1" t="str">
        <f t="shared" si="117"/>
        <v/>
      </c>
      <c r="AA177" s="1" t="str">
        <f t="shared" si="118"/>
        <v/>
      </c>
      <c r="AB177" s="1" t="str">
        <f t="shared" si="119"/>
        <v/>
      </c>
      <c r="AC177" s="1" t="str">
        <f t="shared" si="120"/>
        <v/>
      </c>
      <c r="AD177" s="1" t="str">
        <f t="shared" si="121"/>
        <v/>
      </c>
    </row>
    <row r="178" spans="3:30">
      <c r="C178" s="1"/>
      <c r="D178" s="1" t="str">
        <f t="shared" si="122"/>
        <v/>
      </c>
      <c r="F178" s="1"/>
      <c r="G178" s="1" t="str">
        <f t="shared" si="105"/>
        <v/>
      </c>
      <c r="H178" s="7" t="str">
        <f t="shared" si="124"/>
        <v/>
      </c>
      <c r="I178"/>
      <c r="J178" s="1" t="str">
        <f t="shared" si="106"/>
        <v/>
      </c>
      <c r="K178" s="1" t="str">
        <f t="shared" si="125"/>
        <v/>
      </c>
      <c r="L178" s="1"/>
      <c r="M178" t="str">
        <f t="shared" si="107"/>
        <v/>
      </c>
      <c r="N178" s="1" t="str">
        <f t="shared" si="123"/>
        <v/>
      </c>
      <c r="Q178" s="1" t="str">
        <f t="shared" si="108"/>
        <v/>
      </c>
      <c r="R178" s="1" t="str">
        <f t="shared" si="109"/>
        <v/>
      </c>
      <c r="S178" s="1" t="str">
        <f t="shared" si="110"/>
        <v/>
      </c>
      <c r="T178" s="1" t="str">
        <f t="shared" si="111"/>
        <v/>
      </c>
      <c r="U178" s="1" t="str">
        <f t="shared" si="112"/>
        <v/>
      </c>
      <c r="V178" s="1" t="str">
        <f t="shared" si="113"/>
        <v/>
      </c>
      <c r="W178" s="1" t="str">
        <f t="shared" si="114"/>
        <v/>
      </c>
      <c r="X178" s="1" t="str">
        <f t="shared" si="115"/>
        <v/>
      </c>
      <c r="Y178" s="1" t="str">
        <f t="shared" si="116"/>
        <v/>
      </c>
      <c r="Z178" s="1" t="str">
        <f t="shared" si="117"/>
        <v/>
      </c>
      <c r="AA178" s="1" t="str">
        <f t="shared" si="118"/>
        <v/>
      </c>
      <c r="AB178" s="1" t="str">
        <f t="shared" si="119"/>
        <v/>
      </c>
      <c r="AC178" s="1" t="str">
        <f t="shared" si="120"/>
        <v/>
      </c>
      <c r="AD178" s="1" t="str">
        <f t="shared" si="121"/>
        <v/>
      </c>
    </row>
    <row r="179" spans="3:30">
      <c r="C179" s="1"/>
      <c r="D179" s="1" t="str">
        <f t="shared" si="122"/>
        <v/>
      </c>
      <c r="F179" s="1"/>
      <c r="G179" s="1" t="str">
        <f t="shared" si="105"/>
        <v/>
      </c>
      <c r="H179" s="7" t="str">
        <f t="shared" si="124"/>
        <v/>
      </c>
      <c r="I179"/>
      <c r="J179" s="1" t="str">
        <f t="shared" si="106"/>
        <v/>
      </c>
      <c r="K179" s="1" t="str">
        <f t="shared" si="125"/>
        <v/>
      </c>
      <c r="L179" s="1"/>
      <c r="M179" t="str">
        <f t="shared" si="107"/>
        <v/>
      </c>
      <c r="N179" s="1" t="str">
        <f t="shared" si="123"/>
        <v/>
      </c>
      <c r="Q179" s="1" t="str">
        <f t="shared" si="108"/>
        <v/>
      </c>
      <c r="R179" s="1" t="str">
        <f t="shared" si="109"/>
        <v/>
      </c>
      <c r="S179" s="1" t="str">
        <f t="shared" si="110"/>
        <v/>
      </c>
      <c r="T179" s="1" t="str">
        <f t="shared" si="111"/>
        <v/>
      </c>
      <c r="U179" s="1" t="str">
        <f t="shared" si="112"/>
        <v/>
      </c>
      <c r="V179" s="1" t="str">
        <f t="shared" si="113"/>
        <v/>
      </c>
      <c r="W179" s="1" t="str">
        <f t="shared" si="114"/>
        <v/>
      </c>
      <c r="X179" s="1" t="str">
        <f t="shared" si="115"/>
        <v/>
      </c>
      <c r="Y179" s="1" t="str">
        <f t="shared" si="116"/>
        <v/>
      </c>
      <c r="Z179" s="1" t="str">
        <f t="shared" si="117"/>
        <v/>
      </c>
      <c r="AA179" s="1" t="str">
        <f t="shared" si="118"/>
        <v/>
      </c>
      <c r="AB179" s="1" t="str">
        <f t="shared" si="119"/>
        <v/>
      </c>
      <c r="AC179" s="1" t="str">
        <f t="shared" si="120"/>
        <v/>
      </c>
      <c r="AD179" s="1" t="str">
        <f t="shared" si="121"/>
        <v/>
      </c>
    </row>
    <row r="180" spans="3:30">
      <c r="C180" s="1"/>
      <c r="D180" s="1" t="str">
        <f t="shared" si="122"/>
        <v/>
      </c>
      <c r="F180" s="1"/>
      <c r="G180" s="1" t="str">
        <f t="shared" si="105"/>
        <v/>
      </c>
      <c r="H180" s="7" t="str">
        <f t="shared" si="124"/>
        <v/>
      </c>
      <c r="I180"/>
      <c r="J180" s="1" t="str">
        <f t="shared" si="106"/>
        <v/>
      </c>
      <c r="K180" s="1" t="str">
        <f t="shared" si="125"/>
        <v/>
      </c>
      <c r="L180" s="1"/>
      <c r="M180" t="str">
        <f t="shared" si="107"/>
        <v/>
      </c>
      <c r="N180" s="1" t="str">
        <f t="shared" si="123"/>
        <v/>
      </c>
      <c r="Q180" s="1" t="str">
        <f t="shared" si="108"/>
        <v/>
      </c>
      <c r="R180" s="1" t="str">
        <f t="shared" si="109"/>
        <v/>
      </c>
      <c r="S180" s="1" t="str">
        <f t="shared" si="110"/>
        <v/>
      </c>
      <c r="T180" s="1" t="str">
        <f t="shared" si="111"/>
        <v/>
      </c>
      <c r="U180" s="1" t="str">
        <f t="shared" si="112"/>
        <v/>
      </c>
      <c r="V180" s="1" t="str">
        <f t="shared" si="113"/>
        <v/>
      </c>
      <c r="W180" s="1" t="str">
        <f t="shared" si="114"/>
        <v/>
      </c>
      <c r="X180" s="1" t="str">
        <f t="shared" si="115"/>
        <v/>
      </c>
      <c r="Y180" s="1" t="str">
        <f t="shared" si="116"/>
        <v/>
      </c>
      <c r="Z180" s="1" t="str">
        <f t="shared" si="117"/>
        <v/>
      </c>
      <c r="AA180" s="1" t="str">
        <f t="shared" si="118"/>
        <v/>
      </c>
      <c r="AB180" s="1" t="str">
        <f t="shared" si="119"/>
        <v/>
      </c>
      <c r="AC180" s="1" t="str">
        <f t="shared" si="120"/>
        <v/>
      </c>
      <c r="AD180" s="1" t="str">
        <f t="shared" si="121"/>
        <v/>
      </c>
    </row>
    <row r="181" spans="3:30">
      <c r="C181" s="1"/>
      <c r="D181" s="1" t="str">
        <f t="shared" si="122"/>
        <v/>
      </c>
      <c r="F181" s="1"/>
      <c r="G181" s="1" t="str">
        <f t="shared" si="105"/>
        <v/>
      </c>
      <c r="H181" s="7" t="str">
        <f t="shared" si="124"/>
        <v/>
      </c>
      <c r="I181"/>
      <c r="J181" s="1" t="str">
        <f t="shared" si="106"/>
        <v/>
      </c>
      <c r="K181" s="1" t="str">
        <f t="shared" si="125"/>
        <v/>
      </c>
      <c r="L181" s="1"/>
      <c r="M181" t="str">
        <f t="shared" si="107"/>
        <v/>
      </c>
      <c r="N181" s="1" t="str">
        <f t="shared" si="123"/>
        <v/>
      </c>
      <c r="Q181" s="1" t="str">
        <f t="shared" si="108"/>
        <v/>
      </c>
      <c r="R181" s="1" t="str">
        <f t="shared" si="109"/>
        <v/>
      </c>
      <c r="S181" s="1" t="str">
        <f t="shared" si="110"/>
        <v/>
      </c>
      <c r="T181" s="1" t="str">
        <f t="shared" si="111"/>
        <v/>
      </c>
      <c r="U181" s="1" t="str">
        <f t="shared" si="112"/>
        <v/>
      </c>
      <c r="V181" s="1" t="str">
        <f t="shared" si="113"/>
        <v/>
      </c>
      <c r="W181" s="1" t="str">
        <f t="shared" si="114"/>
        <v/>
      </c>
      <c r="X181" s="1" t="str">
        <f t="shared" si="115"/>
        <v/>
      </c>
      <c r="Y181" s="1" t="str">
        <f t="shared" si="116"/>
        <v/>
      </c>
      <c r="Z181" s="1" t="str">
        <f t="shared" si="117"/>
        <v/>
      </c>
      <c r="AA181" s="1" t="str">
        <f t="shared" si="118"/>
        <v/>
      </c>
      <c r="AB181" s="1" t="str">
        <f t="shared" si="119"/>
        <v/>
      </c>
      <c r="AC181" s="1" t="str">
        <f t="shared" si="120"/>
        <v/>
      </c>
      <c r="AD181" s="1" t="str">
        <f t="shared" si="121"/>
        <v/>
      </c>
    </row>
    <row r="182" spans="3:30">
      <c r="C182" s="1"/>
      <c r="D182" s="1" t="str">
        <f t="shared" si="122"/>
        <v/>
      </c>
      <c r="F182" s="1"/>
      <c r="G182" s="1" t="str">
        <f t="shared" si="105"/>
        <v/>
      </c>
      <c r="H182" s="7" t="str">
        <f t="shared" si="124"/>
        <v/>
      </c>
      <c r="I182"/>
      <c r="J182" s="1" t="str">
        <f t="shared" si="106"/>
        <v/>
      </c>
      <c r="K182" s="1" t="str">
        <f t="shared" si="125"/>
        <v/>
      </c>
      <c r="L182" s="1"/>
      <c r="M182" t="str">
        <f t="shared" si="107"/>
        <v/>
      </c>
      <c r="N182" s="1" t="str">
        <f t="shared" si="123"/>
        <v/>
      </c>
      <c r="Q182" s="1" t="str">
        <f t="shared" si="108"/>
        <v/>
      </c>
      <c r="R182" s="1" t="str">
        <f t="shared" si="109"/>
        <v/>
      </c>
      <c r="S182" s="1" t="str">
        <f t="shared" si="110"/>
        <v/>
      </c>
      <c r="T182" s="1" t="str">
        <f t="shared" si="111"/>
        <v/>
      </c>
      <c r="U182" s="1" t="str">
        <f t="shared" si="112"/>
        <v/>
      </c>
      <c r="V182" s="1" t="str">
        <f t="shared" si="113"/>
        <v/>
      </c>
      <c r="W182" s="1" t="str">
        <f t="shared" si="114"/>
        <v/>
      </c>
      <c r="X182" s="1" t="str">
        <f t="shared" si="115"/>
        <v/>
      </c>
      <c r="Y182" s="1" t="str">
        <f t="shared" si="116"/>
        <v/>
      </c>
      <c r="Z182" s="1" t="str">
        <f t="shared" si="117"/>
        <v/>
      </c>
      <c r="AA182" s="1" t="str">
        <f t="shared" si="118"/>
        <v/>
      </c>
      <c r="AB182" s="1" t="str">
        <f t="shared" si="119"/>
        <v/>
      </c>
      <c r="AC182" s="1" t="str">
        <f t="shared" si="120"/>
        <v/>
      </c>
      <c r="AD182" s="1" t="str">
        <f t="shared" si="121"/>
        <v/>
      </c>
    </row>
    <row r="183" spans="3:30">
      <c r="C183" s="1"/>
      <c r="D183" s="1" t="str">
        <f t="shared" si="122"/>
        <v/>
      </c>
      <c r="F183" s="1"/>
      <c r="G183" s="1" t="str">
        <f t="shared" si="105"/>
        <v/>
      </c>
      <c r="H183" s="7" t="str">
        <f t="shared" si="124"/>
        <v/>
      </c>
      <c r="I183"/>
      <c r="J183" s="1" t="str">
        <f t="shared" si="106"/>
        <v/>
      </c>
      <c r="K183" s="1" t="str">
        <f t="shared" si="125"/>
        <v/>
      </c>
      <c r="L183" s="1"/>
      <c r="M183" t="str">
        <f t="shared" si="107"/>
        <v/>
      </c>
      <c r="N183" s="1" t="str">
        <f t="shared" si="123"/>
        <v/>
      </c>
      <c r="Q183" s="1" t="str">
        <f t="shared" si="108"/>
        <v/>
      </c>
      <c r="R183" s="1" t="str">
        <f t="shared" si="109"/>
        <v/>
      </c>
      <c r="S183" s="1" t="str">
        <f t="shared" si="110"/>
        <v/>
      </c>
      <c r="T183" s="1" t="str">
        <f t="shared" si="111"/>
        <v/>
      </c>
      <c r="U183" s="1" t="str">
        <f t="shared" si="112"/>
        <v/>
      </c>
      <c r="V183" s="1" t="str">
        <f t="shared" si="113"/>
        <v/>
      </c>
      <c r="W183" s="1" t="str">
        <f t="shared" si="114"/>
        <v/>
      </c>
      <c r="X183" s="1" t="str">
        <f t="shared" si="115"/>
        <v/>
      </c>
      <c r="Y183" s="1" t="str">
        <f t="shared" si="116"/>
        <v/>
      </c>
      <c r="Z183" s="1" t="str">
        <f t="shared" si="117"/>
        <v/>
      </c>
      <c r="AA183" s="1" t="str">
        <f t="shared" si="118"/>
        <v/>
      </c>
      <c r="AB183" s="1" t="str">
        <f t="shared" si="119"/>
        <v/>
      </c>
      <c r="AC183" s="1" t="str">
        <f t="shared" si="120"/>
        <v/>
      </c>
      <c r="AD183" s="1" t="str">
        <f t="shared" si="121"/>
        <v/>
      </c>
    </row>
    <row r="184" spans="3:30">
      <c r="C184" s="1"/>
      <c r="D184" s="1" t="str">
        <f t="shared" si="122"/>
        <v/>
      </c>
      <c r="F184" s="1"/>
      <c r="G184" s="1" t="str">
        <f t="shared" si="105"/>
        <v/>
      </c>
      <c r="H184" s="7" t="str">
        <f t="shared" si="124"/>
        <v/>
      </c>
      <c r="I184"/>
      <c r="J184" s="1" t="str">
        <f t="shared" si="106"/>
        <v/>
      </c>
      <c r="K184" s="1" t="str">
        <f t="shared" si="125"/>
        <v/>
      </c>
      <c r="L184" s="1"/>
      <c r="M184" t="str">
        <f t="shared" si="107"/>
        <v/>
      </c>
      <c r="N184" s="1" t="str">
        <f t="shared" si="123"/>
        <v/>
      </c>
      <c r="Q184" s="1" t="str">
        <f t="shared" si="108"/>
        <v/>
      </c>
      <c r="R184" s="1" t="str">
        <f t="shared" si="109"/>
        <v/>
      </c>
      <c r="S184" s="1" t="str">
        <f t="shared" si="110"/>
        <v/>
      </c>
      <c r="T184" s="1" t="str">
        <f t="shared" si="111"/>
        <v/>
      </c>
      <c r="U184" s="1" t="str">
        <f t="shared" si="112"/>
        <v/>
      </c>
      <c r="V184" s="1" t="str">
        <f t="shared" si="113"/>
        <v/>
      </c>
      <c r="W184" s="1" t="str">
        <f t="shared" si="114"/>
        <v/>
      </c>
      <c r="X184" s="1" t="str">
        <f t="shared" si="115"/>
        <v/>
      </c>
      <c r="Y184" s="1" t="str">
        <f t="shared" si="116"/>
        <v/>
      </c>
      <c r="Z184" s="1" t="str">
        <f t="shared" si="117"/>
        <v/>
      </c>
      <c r="AA184" s="1" t="str">
        <f t="shared" si="118"/>
        <v/>
      </c>
      <c r="AB184" s="1" t="str">
        <f t="shared" si="119"/>
        <v/>
      </c>
      <c r="AC184" s="1" t="str">
        <f t="shared" si="120"/>
        <v/>
      </c>
      <c r="AD184" s="1" t="str">
        <f t="shared" si="121"/>
        <v/>
      </c>
    </row>
    <row r="185" spans="3:30">
      <c r="C185" s="1"/>
      <c r="D185" s="1" t="str">
        <f t="shared" si="122"/>
        <v/>
      </c>
      <c r="F185" s="1"/>
      <c r="G185" s="1" t="str">
        <f t="shared" si="105"/>
        <v/>
      </c>
      <c r="H185" s="7" t="str">
        <f t="shared" si="124"/>
        <v/>
      </c>
      <c r="I185"/>
      <c r="J185" s="1" t="str">
        <f t="shared" si="106"/>
        <v/>
      </c>
      <c r="K185" s="1" t="str">
        <f t="shared" si="125"/>
        <v/>
      </c>
      <c r="L185" s="1"/>
      <c r="M185" t="str">
        <f t="shared" si="107"/>
        <v/>
      </c>
      <c r="N185" s="1" t="str">
        <f t="shared" si="123"/>
        <v/>
      </c>
      <c r="Q185" s="1" t="str">
        <f t="shared" si="108"/>
        <v/>
      </c>
      <c r="R185" s="1" t="str">
        <f t="shared" si="109"/>
        <v/>
      </c>
      <c r="S185" s="1" t="str">
        <f t="shared" si="110"/>
        <v/>
      </c>
      <c r="T185" s="1" t="str">
        <f t="shared" si="111"/>
        <v/>
      </c>
      <c r="U185" s="1" t="str">
        <f t="shared" si="112"/>
        <v/>
      </c>
      <c r="V185" s="1" t="str">
        <f t="shared" si="113"/>
        <v/>
      </c>
      <c r="W185" s="1" t="str">
        <f t="shared" si="114"/>
        <v/>
      </c>
      <c r="X185" s="1" t="str">
        <f t="shared" si="115"/>
        <v/>
      </c>
      <c r="Y185" s="1" t="str">
        <f t="shared" si="116"/>
        <v/>
      </c>
      <c r="Z185" s="1" t="str">
        <f t="shared" si="117"/>
        <v/>
      </c>
      <c r="AA185" s="1" t="str">
        <f t="shared" si="118"/>
        <v/>
      </c>
      <c r="AB185" s="1" t="str">
        <f t="shared" si="119"/>
        <v/>
      </c>
      <c r="AC185" s="1" t="str">
        <f t="shared" si="120"/>
        <v/>
      </c>
      <c r="AD185" s="1" t="str">
        <f t="shared" si="121"/>
        <v/>
      </c>
    </row>
    <row r="186" spans="3:30">
      <c r="C186" s="1"/>
      <c r="D186" s="1" t="str">
        <f t="shared" si="122"/>
        <v/>
      </c>
      <c r="F186" s="1"/>
      <c r="G186" s="1" t="str">
        <f t="shared" si="105"/>
        <v/>
      </c>
      <c r="H186" s="7" t="str">
        <f t="shared" si="124"/>
        <v/>
      </c>
      <c r="I186"/>
      <c r="J186" s="1" t="str">
        <f t="shared" si="106"/>
        <v/>
      </c>
      <c r="K186" s="1" t="str">
        <f t="shared" si="125"/>
        <v/>
      </c>
      <c r="L186" s="1"/>
      <c r="M186" t="str">
        <f t="shared" si="107"/>
        <v/>
      </c>
      <c r="N186" s="1" t="str">
        <f t="shared" si="123"/>
        <v/>
      </c>
      <c r="Q186" s="1" t="str">
        <f t="shared" si="108"/>
        <v/>
      </c>
      <c r="R186" s="1" t="str">
        <f t="shared" si="109"/>
        <v/>
      </c>
      <c r="S186" s="1" t="str">
        <f t="shared" si="110"/>
        <v/>
      </c>
      <c r="T186" s="1" t="str">
        <f t="shared" si="111"/>
        <v/>
      </c>
      <c r="U186" s="1" t="str">
        <f t="shared" si="112"/>
        <v/>
      </c>
      <c r="V186" s="1" t="str">
        <f t="shared" si="113"/>
        <v/>
      </c>
      <c r="W186" s="1" t="str">
        <f t="shared" si="114"/>
        <v/>
      </c>
      <c r="X186" s="1" t="str">
        <f t="shared" si="115"/>
        <v/>
      </c>
      <c r="Y186" s="1" t="str">
        <f t="shared" si="116"/>
        <v/>
      </c>
      <c r="Z186" s="1" t="str">
        <f t="shared" si="117"/>
        <v/>
      </c>
      <c r="AA186" s="1" t="str">
        <f t="shared" si="118"/>
        <v/>
      </c>
      <c r="AB186" s="1" t="str">
        <f t="shared" si="119"/>
        <v/>
      </c>
      <c r="AC186" s="1" t="str">
        <f t="shared" si="120"/>
        <v/>
      </c>
      <c r="AD186" s="1" t="str">
        <f t="shared" si="121"/>
        <v/>
      </c>
    </row>
    <row r="187" spans="3:30">
      <c r="C187" s="1"/>
      <c r="D187" s="1" t="str">
        <f t="shared" si="122"/>
        <v/>
      </c>
      <c r="F187" s="1"/>
      <c r="G187" s="1" t="str">
        <f t="shared" si="105"/>
        <v/>
      </c>
      <c r="H187" s="7" t="str">
        <f t="shared" si="124"/>
        <v/>
      </c>
      <c r="I187"/>
      <c r="J187" s="1" t="str">
        <f t="shared" si="106"/>
        <v/>
      </c>
      <c r="K187" s="1" t="str">
        <f t="shared" si="125"/>
        <v/>
      </c>
      <c r="L187" s="1"/>
      <c r="M187" t="str">
        <f t="shared" si="107"/>
        <v/>
      </c>
      <c r="N187" s="1" t="str">
        <f t="shared" si="123"/>
        <v/>
      </c>
      <c r="Q187" s="1" t="str">
        <f t="shared" si="108"/>
        <v/>
      </c>
      <c r="R187" s="1" t="str">
        <f t="shared" si="109"/>
        <v/>
      </c>
      <c r="S187" s="1" t="str">
        <f t="shared" si="110"/>
        <v/>
      </c>
      <c r="T187" s="1" t="str">
        <f t="shared" si="111"/>
        <v/>
      </c>
      <c r="U187" s="1" t="str">
        <f t="shared" si="112"/>
        <v/>
      </c>
      <c r="V187" s="1" t="str">
        <f t="shared" si="113"/>
        <v/>
      </c>
      <c r="W187" s="1" t="str">
        <f t="shared" si="114"/>
        <v/>
      </c>
      <c r="X187" s="1" t="str">
        <f t="shared" si="115"/>
        <v/>
      </c>
      <c r="Y187" s="1" t="str">
        <f t="shared" si="116"/>
        <v/>
      </c>
      <c r="Z187" s="1" t="str">
        <f t="shared" si="117"/>
        <v/>
      </c>
      <c r="AA187" s="1" t="str">
        <f t="shared" si="118"/>
        <v/>
      </c>
      <c r="AB187" s="1" t="str">
        <f t="shared" si="119"/>
        <v/>
      </c>
      <c r="AC187" s="1" t="str">
        <f t="shared" si="120"/>
        <v/>
      </c>
      <c r="AD187" s="1" t="str">
        <f t="shared" si="121"/>
        <v/>
      </c>
    </row>
    <row r="188" spans="3:30">
      <c r="C188" s="1"/>
      <c r="D188" s="1" t="str">
        <f t="shared" si="122"/>
        <v/>
      </c>
      <c r="F188" s="1"/>
      <c r="G188" s="1" t="str">
        <f t="shared" si="105"/>
        <v/>
      </c>
      <c r="H188" s="7" t="str">
        <f t="shared" si="124"/>
        <v/>
      </c>
      <c r="I188"/>
      <c r="J188" s="1" t="str">
        <f t="shared" si="106"/>
        <v/>
      </c>
      <c r="K188" s="1" t="str">
        <f t="shared" si="125"/>
        <v/>
      </c>
      <c r="L188" s="1"/>
      <c r="M188" t="str">
        <f t="shared" si="107"/>
        <v/>
      </c>
      <c r="N188" s="1" t="str">
        <f t="shared" si="123"/>
        <v/>
      </c>
      <c r="Q188" s="1" t="str">
        <f t="shared" si="108"/>
        <v/>
      </c>
      <c r="R188" s="1" t="str">
        <f t="shared" si="109"/>
        <v/>
      </c>
      <c r="S188" s="1" t="str">
        <f t="shared" si="110"/>
        <v/>
      </c>
      <c r="T188" s="1" t="str">
        <f t="shared" si="111"/>
        <v/>
      </c>
      <c r="U188" s="1" t="str">
        <f t="shared" si="112"/>
        <v/>
      </c>
      <c r="V188" s="1" t="str">
        <f t="shared" si="113"/>
        <v/>
      </c>
      <c r="W188" s="1" t="str">
        <f t="shared" si="114"/>
        <v/>
      </c>
      <c r="X188" s="1" t="str">
        <f t="shared" si="115"/>
        <v/>
      </c>
      <c r="Y188" s="1" t="str">
        <f t="shared" si="116"/>
        <v/>
      </c>
      <c r="Z188" s="1" t="str">
        <f t="shared" si="117"/>
        <v/>
      </c>
      <c r="AA188" s="1" t="str">
        <f t="shared" si="118"/>
        <v/>
      </c>
      <c r="AB188" s="1" t="str">
        <f t="shared" si="119"/>
        <v/>
      </c>
      <c r="AC188" s="1" t="str">
        <f t="shared" si="120"/>
        <v/>
      </c>
      <c r="AD188" s="1" t="str">
        <f t="shared" si="121"/>
        <v/>
      </c>
    </row>
    <row r="189" spans="3:30">
      <c r="C189" s="1"/>
      <c r="D189" s="1" t="str">
        <f t="shared" si="122"/>
        <v/>
      </c>
      <c r="F189" s="1"/>
      <c r="G189" s="1" t="str">
        <f t="shared" si="105"/>
        <v/>
      </c>
      <c r="H189" s="7" t="str">
        <f t="shared" si="124"/>
        <v/>
      </c>
      <c r="I189"/>
      <c r="J189" s="1" t="str">
        <f t="shared" si="106"/>
        <v/>
      </c>
      <c r="K189" s="1" t="str">
        <f t="shared" si="125"/>
        <v/>
      </c>
      <c r="L189" s="1"/>
      <c r="M189" t="str">
        <f t="shared" si="107"/>
        <v/>
      </c>
      <c r="N189" s="1" t="str">
        <f t="shared" si="123"/>
        <v/>
      </c>
      <c r="Q189" s="1" t="str">
        <f t="shared" si="108"/>
        <v/>
      </c>
      <c r="R189" s="1" t="str">
        <f t="shared" si="109"/>
        <v/>
      </c>
      <c r="S189" s="1" t="str">
        <f t="shared" si="110"/>
        <v/>
      </c>
      <c r="T189" s="1" t="str">
        <f t="shared" si="111"/>
        <v/>
      </c>
      <c r="U189" s="1" t="str">
        <f t="shared" si="112"/>
        <v/>
      </c>
      <c r="V189" s="1" t="str">
        <f t="shared" si="113"/>
        <v/>
      </c>
      <c r="W189" s="1" t="str">
        <f t="shared" si="114"/>
        <v/>
      </c>
      <c r="X189" s="1" t="str">
        <f t="shared" si="115"/>
        <v/>
      </c>
      <c r="Y189" s="1" t="str">
        <f t="shared" si="116"/>
        <v/>
      </c>
      <c r="Z189" s="1" t="str">
        <f t="shared" si="117"/>
        <v/>
      </c>
      <c r="AA189" s="1" t="str">
        <f t="shared" si="118"/>
        <v/>
      </c>
      <c r="AB189" s="1" t="str">
        <f t="shared" si="119"/>
        <v/>
      </c>
      <c r="AC189" s="1" t="str">
        <f t="shared" si="120"/>
        <v/>
      </c>
      <c r="AD189" s="1" t="str">
        <f t="shared" si="121"/>
        <v/>
      </c>
    </row>
    <row r="190" spans="3:30">
      <c r="C190" s="1"/>
      <c r="D190" s="1" t="str">
        <f t="shared" si="122"/>
        <v/>
      </c>
      <c r="F190" s="1"/>
      <c r="G190" s="1" t="str">
        <f t="shared" si="105"/>
        <v/>
      </c>
      <c r="H190" s="7" t="str">
        <f t="shared" si="124"/>
        <v/>
      </c>
      <c r="I190"/>
      <c r="J190" s="1" t="str">
        <f t="shared" si="106"/>
        <v/>
      </c>
      <c r="K190" s="1" t="str">
        <f t="shared" si="125"/>
        <v/>
      </c>
      <c r="L190" s="1"/>
      <c r="M190" t="str">
        <f t="shared" si="107"/>
        <v/>
      </c>
      <c r="N190" s="1" t="str">
        <f t="shared" si="123"/>
        <v/>
      </c>
      <c r="Q190" s="1" t="str">
        <f t="shared" si="108"/>
        <v/>
      </c>
      <c r="R190" s="1" t="str">
        <f t="shared" si="109"/>
        <v/>
      </c>
      <c r="S190" s="1" t="str">
        <f t="shared" si="110"/>
        <v/>
      </c>
      <c r="T190" s="1" t="str">
        <f t="shared" si="111"/>
        <v/>
      </c>
      <c r="U190" s="1" t="str">
        <f t="shared" si="112"/>
        <v/>
      </c>
      <c r="V190" s="1" t="str">
        <f t="shared" si="113"/>
        <v/>
      </c>
      <c r="W190" s="1" t="str">
        <f t="shared" si="114"/>
        <v/>
      </c>
      <c r="X190" s="1" t="str">
        <f t="shared" si="115"/>
        <v/>
      </c>
      <c r="Y190" s="1" t="str">
        <f t="shared" si="116"/>
        <v/>
      </c>
      <c r="Z190" s="1" t="str">
        <f t="shared" si="117"/>
        <v/>
      </c>
      <c r="AA190" s="1" t="str">
        <f t="shared" si="118"/>
        <v/>
      </c>
      <c r="AB190" s="1" t="str">
        <f t="shared" si="119"/>
        <v/>
      </c>
      <c r="AC190" s="1" t="str">
        <f t="shared" si="120"/>
        <v/>
      </c>
      <c r="AD190" s="1" t="str">
        <f t="shared" si="121"/>
        <v/>
      </c>
    </row>
    <row r="191" spans="3:30">
      <c r="C191" s="1"/>
      <c r="D191" s="1" t="str">
        <f t="shared" si="122"/>
        <v/>
      </c>
      <c r="F191" s="1"/>
      <c r="G191" s="1" t="str">
        <f t="shared" si="105"/>
        <v/>
      </c>
      <c r="H191" s="7" t="str">
        <f t="shared" si="124"/>
        <v/>
      </c>
      <c r="I191"/>
      <c r="J191" s="1" t="str">
        <f t="shared" si="106"/>
        <v/>
      </c>
      <c r="K191" s="1" t="str">
        <f t="shared" si="125"/>
        <v/>
      </c>
      <c r="L191" s="1"/>
      <c r="M191" t="str">
        <f t="shared" si="107"/>
        <v/>
      </c>
      <c r="N191" s="1" t="str">
        <f t="shared" si="123"/>
        <v/>
      </c>
      <c r="Q191" s="1" t="str">
        <f t="shared" si="108"/>
        <v/>
      </c>
      <c r="R191" s="1" t="str">
        <f t="shared" si="109"/>
        <v/>
      </c>
      <c r="S191" s="1" t="str">
        <f t="shared" si="110"/>
        <v/>
      </c>
      <c r="T191" s="1" t="str">
        <f t="shared" si="111"/>
        <v/>
      </c>
      <c r="U191" s="1" t="str">
        <f t="shared" si="112"/>
        <v/>
      </c>
      <c r="V191" s="1" t="str">
        <f t="shared" si="113"/>
        <v/>
      </c>
      <c r="W191" s="1" t="str">
        <f t="shared" si="114"/>
        <v/>
      </c>
      <c r="X191" s="1" t="str">
        <f t="shared" si="115"/>
        <v/>
      </c>
      <c r="Y191" s="1" t="str">
        <f t="shared" si="116"/>
        <v/>
      </c>
      <c r="Z191" s="1" t="str">
        <f t="shared" si="117"/>
        <v/>
      </c>
      <c r="AA191" s="1" t="str">
        <f t="shared" si="118"/>
        <v/>
      </c>
      <c r="AB191" s="1" t="str">
        <f t="shared" si="119"/>
        <v/>
      </c>
      <c r="AC191" s="1" t="str">
        <f t="shared" si="120"/>
        <v/>
      </c>
      <c r="AD191" s="1" t="str">
        <f t="shared" si="121"/>
        <v/>
      </c>
    </row>
    <row r="192" spans="3:30">
      <c r="C192" s="1"/>
      <c r="D192" s="1" t="str">
        <f t="shared" si="122"/>
        <v/>
      </c>
      <c r="F192" s="1"/>
      <c r="G192" s="1" t="str">
        <f t="shared" si="105"/>
        <v/>
      </c>
      <c r="H192" s="7" t="str">
        <f t="shared" si="124"/>
        <v/>
      </c>
      <c r="I192"/>
      <c r="J192" s="1" t="str">
        <f t="shared" si="106"/>
        <v/>
      </c>
      <c r="K192" s="1" t="str">
        <f t="shared" si="125"/>
        <v/>
      </c>
      <c r="L192" s="1"/>
      <c r="M192" t="str">
        <f t="shared" si="107"/>
        <v/>
      </c>
      <c r="N192" s="1" t="str">
        <f t="shared" si="123"/>
        <v/>
      </c>
      <c r="Q192" s="1" t="str">
        <f t="shared" si="108"/>
        <v/>
      </c>
      <c r="R192" s="1" t="str">
        <f t="shared" si="109"/>
        <v/>
      </c>
      <c r="S192" s="1" t="str">
        <f t="shared" si="110"/>
        <v/>
      </c>
      <c r="T192" s="1" t="str">
        <f t="shared" si="111"/>
        <v/>
      </c>
      <c r="U192" s="1" t="str">
        <f t="shared" si="112"/>
        <v/>
      </c>
      <c r="V192" s="1" t="str">
        <f t="shared" si="113"/>
        <v/>
      </c>
      <c r="W192" s="1" t="str">
        <f t="shared" si="114"/>
        <v/>
      </c>
      <c r="X192" s="1" t="str">
        <f t="shared" si="115"/>
        <v/>
      </c>
      <c r="Y192" s="1" t="str">
        <f t="shared" si="116"/>
        <v/>
      </c>
      <c r="Z192" s="1" t="str">
        <f t="shared" si="117"/>
        <v/>
      </c>
      <c r="AA192" s="1" t="str">
        <f t="shared" si="118"/>
        <v/>
      </c>
      <c r="AB192" s="1" t="str">
        <f t="shared" si="119"/>
        <v/>
      </c>
      <c r="AC192" s="1" t="str">
        <f t="shared" si="120"/>
        <v/>
      </c>
      <c r="AD192" s="1" t="str">
        <f t="shared" si="121"/>
        <v/>
      </c>
    </row>
    <row r="193" spans="3:30">
      <c r="C193" s="1"/>
      <c r="D193" s="1" t="str">
        <f t="shared" si="122"/>
        <v/>
      </c>
      <c r="F193" s="1"/>
      <c r="G193" s="1" t="str">
        <f t="shared" si="105"/>
        <v/>
      </c>
      <c r="H193" s="7" t="str">
        <f t="shared" si="124"/>
        <v/>
      </c>
      <c r="I193"/>
      <c r="J193" s="1" t="str">
        <f t="shared" si="106"/>
        <v/>
      </c>
      <c r="K193" s="1" t="str">
        <f t="shared" si="125"/>
        <v/>
      </c>
      <c r="L193" s="1"/>
      <c r="M193" t="str">
        <f t="shared" si="107"/>
        <v/>
      </c>
      <c r="N193" s="1" t="str">
        <f t="shared" si="123"/>
        <v/>
      </c>
      <c r="Q193" s="1" t="str">
        <f t="shared" si="108"/>
        <v/>
      </c>
      <c r="R193" s="1" t="str">
        <f t="shared" si="109"/>
        <v/>
      </c>
      <c r="S193" s="1" t="str">
        <f t="shared" si="110"/>
        <v/>
      </c>
      <c r="T193" s="1" t="str">
        <f t="shared" si="111"/>
        <v/>
      </c>
      <c r="U193" s="1" t="str">
        <f t="shared" si="112"/>
        <v/>
      </c>
      <c r="V193" s="1" t="str">
        <f t="shared" si="113"/>
        <v/>
      </c>
      <c r="W193" s="1" t="str">
        <f t="shared" si="114"/>
        <v/>
      </c>
      <c r="X193" s="1" t="str">
        <f t="shared" si="115"/>
        <v/>
      </c>
      <c r="Y193" s="1" t="str">
        <f t="shared" si="116"/>
        <v/>
      </c>
      <c r="Z193" s="1" t="str">
        <f t="shared" si="117"/>
        <v/>
      </c>
      <c r="AA193" s="1" t="str">
        <f t="shared" si="118"/>
        <v/>
      </c>
      <c r="AB193" s="1" t="str">
        <f t="shared" si="119"/>
        <v/>
      </c>
      <c r="AC193" s="1" t="str">
        <f t="shared" si="120"/>
        <v/>
      </c>
      <c r="AD193" s="1" t="str">
        <f t="shared" si="121"/>
        <v/>
      </c>
    </row>
    <row r="194" spans="3:30">
      <c r="C194" s="1"/>
      <c r="D194" s="1" t="str">
        <f t="shared" si="122"/>
        <v/>
      </c>
      <c r="F194" s="1"/>
      <c r="G194" s="1" t="str">
        <f t="shared" si="105"/>
        <v/>
      </c>
      <c r="H194" s="7" t="str">
        <f t="shared" si="124"/>
        <v/>
      </c>
      <c r="I194"/>
      <c r="J194" s="1" t="str">
        <f t="shared" si="106"/>
        <v/>
      </c>
      <c r="K194" s="1" t="str">
        <f t="shared" si="125"/>
        <v/>
      </c>
      <c r="L194" s="1"/>
      <c r="M194" t="str">
        <f t="shared" si="107"/>
        <v/>
      </c>
      <c r="N194" s="1" t="str">
        <f t="shared" si="123"/>
        <v/>
      </c>
      <c r="Q194" s="1" t="str">
        <f t="shared" si="108"/>
        <v/>
      </c>
      <c r="R194" s="1" t="str">
        <f t="shared" si="109"/>
        <v/>
      </c>
      <c r="S194" s="1" t="str">
        <f t="shared" si="110"/>
        <v/>
      </c>
      <c r="T194" s="1" t="str">
        <f t="shared" si="111"/>
        <v/>
      </c>
      <c r="U194" s="1" t="str">
        <f t="shared" si="112"/>
        <v/>
      </c>
      <c r="V194" s="1" t="str">
        <f t="shared" si="113"/>
        <v/>
      </c>
      <c r="W194" s="1" t="str">
        <f t="shared" si="114"/>
        <v/>
      </c>
      <c r="X194" s="1" t="str">
        <f t="shared" si="115"/>
        <v/>
      </c>
      <c r="Y194" s="1" t="str">
        <f t="shared" si="116"/>
        <v/>
      </c>
      <c r="Z194" s="1" t="str">
        <f t="shared" si="117"/>
        <v/>
      </c>
      <c r="AA194" s="1" t="str">
        <f t="shared" si="118"/>
        <v/>
      </c>
      <c r="AB194" s="1" t="str">
        <f t="shared" si="119"/>
        <v/>
      </c>
      <c r="AC194" s="1" t="str">
        <f t="shared" si="120"/>
        <v/>
      </c>
      <c r="AD194" s="1" t="str">
        <f t="shared" si="121"/>
        <v/>
      </c>
    </row>
    <row r="195" spans="3:30">
      <c r="C195" s="1"/>
      <c r="D195" s="1" t="str">
        <f t="shared" si="122"/>
        <v/>
      </c>
      <c r="F195" s="1"/>
      <c r="G195" s="1" t="str">
        <f t="shared" si="105"/>
        <v/>
      </c>
      <c r="H195" s="7" t="str">
        <f t="shared" si="124"/>
        <v/>
      </c>
      <c r="I195"/>
      <c r="J195" s="1" t="str">
        <f t="shared" si="106"/>
        <v/>
      </c>
      <c r="K195" s="1" t="str">
        <f t="shared" si="125"/>
        <v/>
      </c>
      <c r="L195" s="1"/>
      <c r="M195" t="str">
        <f t="shared" si="107"/>
        <v/>
      </c>
      <c r="N195" s="1" t="str">
        <f t="shared" si="123"/>
        <v/>
      </c>
      <c r="Q195" s="1" t="str">
        <f t="shared" si="108"/>
        <v/>
      </c>
      <c r="R195" s="1" t="str">
        <f t="shared" si="109"/>
        <v/>
      </c>
      <c r="S195" s="1" t="str">
        <f t="shared" si="110"/>
        <v/>
      </c>
      <c r="T195" s="1" t="str">
        <f t="shared" si="111"/>
        <v/>
      </c>
      <c r="U195" s="1" t="str">
        <f t="shared" si="112"/>
        <v/>
      </c>
      <c r="V195" s="1" t="str">
        <f t="shared" si="113"/>
        <v/>
      </c>
      <c r="W195" s="1" t="str">
        <f t="shared" si="114"/>
        <v/>
      </c>
      <c r="X195" s="1" t="str">
        <f t="shared" si="115"/>
        <v/>
      </c>
      <c r="Y195" s="1" t="str">
        <f t="shared" si="116"/>
        <v/>
      </c>
      <c r="Z195" s="1" t="str">
        <f t="shared" si="117"/>
        <v/>
      </c>
      <c r="AA195" s="1" t="str">
        <f t="shared" si="118"/>
        <v/>
      </c>
      <c r="AB195" s="1" t="str">
        <f t="shared" si="119"/>
        <v/>
      </c>
      <c r="AC195" s="1" t="str">
        <f t="shared" si="120"/>
        <v/>
      </c>
      <c r="AD195" s="1" t="str">
        <f t="shared" si="121"/>
        <v/>
      </c>
    </row>
    <row r="196" spans="3:30">
      <c r="C196" s="1"/>
      <c r="D196" s="1" t="str">
        <f t="shared" si="122"/>
        <v/>
      </c>
      <c r="F196" s="1"/>
      <c r="G196" s="1" t="str">
        <f t="shared" si="105"/>
        <v/>
      </c>
      <c r="H196" s="7" t="str">
        <f t="shared" si="124"/>
        <v/>
      </c>
      <c r="I196"/>
      <c r="J196" s="1" t="str">
        <f t="shared" si="106"/>
        <v/>
      </c>
      <c r="K196" s="1" t="str">
        <f t="shared" si="125"/>
        <v/>
      </c>
      <c r="L196" s="1"/>
      <c r="M196" t="str">
        <f t="shared" si="107"/>
        <v/>
      </c>
      <c r="N196" s="1" t="str">
        <f t="shared" si="123"/>
        <v/>
      </c>
      <c r="Q196" s="1" t="str">
        <f t="shared" si="108"/>
        <v/>
      </c>
      <c r="R196" s="1" t="str">
        <f t="shared" si="109"/>
        <v/>
      </c>
      <c r="S196" s="1" t="str">
        <f t="shared" si="110"/>
        <v/>
      </c>
      <c r="T196" s="1" t="str">
        <f t="shared" si="111"/>
        <v/>
      </c>
      <c r="U196" s="1" t="str">
        <f t="shared" si="112"/>
        <v/>
      </c>
      <c r="V196" s="1" t="str">
        <f t="shared" si="113"/>
        <v/>
      </c>
      <c r="W196" s="1" t="str">
        <f t="shared" si="114"/>
        <v/>
      </c>
      <c r="X196" s="1" t="str">
        <f t="shared" si="115"/>
        <v/>
      </c>
      <c r="Y196" s="1" t="str">
        <f t="shared" si="116"/>
        <v/>
      </c>
      <c r="Z196" s="1" t="str">
        <f t="shared" si="117"/>
        <v/>
      </c>
      <c r="AA196" s="1" t="str">
        <f t="shared" si="118"/>
        <v/>
      </c>
      <c r="AB196" s="1" t="str">
        <f t="shared" si="119"/>
        <v/>
      </c>
      <c r="AC196" s="1" t="str">
        <f t="shared" si="120"/>
        <v/>
      </c>
      <c r="AD196" s="1" t="str">
        <f t="shared" si="121"/>
        <v/>
      </c>
    </row>
    <row r="197" spans="3:30">
      <c r="C197" s="1"/>
      <c r="D197" s="1" t="str">
        <f t="shared" si="122"/>
        <v/>
      </c>
      <c r="F197" s="1"/>
      <c r="G197" s="1" t="str">
        <f t="shared" si="105"/>
        <v/>
      </c>
      <c r="H197" s="7" t="str">
        <f t="shared" si="124"/>
        <v/>
      </c>
      <c r="I197"/>
      <c r="J197" s="1" t="str">
        <f t="shared" si="106"/>
        <v/>
      </c>
      <c r="K197" s="1" t="str">
        <f t="shared" si="125"/>
        <v/>
      </c>
      <c r="L197" s="1"/>
      <c r="M197" t="str">
        <f t="shared" si="107"/>
        <v/>
      </c>
      <c r="N197" s="1" t="str">
        <f t="shared" si="123"/>
        <v/>
      </c>
      <c r="Q197" s="1" t="str">
        <f t="shared" si="108"/>
        <v/>
      </c>
      <c r="R197" s="1" t="str">
        <f t="shared" si="109"/>
        <v/>
      </c>
      <c r="S197" s="1" t="str">
        <f t="shared" si="110"/>
        <v/>
      </c>
      <c r="T197" s="1" t="str">
        <f t="shared" si="111"/>
        <v/>
      </c>
      <c r="U197" s="1" t="str">
        <f t="shared" si="112"/>
        <v/>
      </c>
      <c r="V197" s="1" t="str">
        <f t="shared" si="113"/>
        <v/>
      </c>
      <c r="W197" s="1" t="str">
        <f t="shared" si="114"/>
        <v/>
      </c>
      <c r="X197" s="1" t="str">
        <f t="shared" si="115"/>
        <v/>
      </c>
      <c r="Y197" s="1" t="str">
        <f t="shared" si="116"/>
        <v/>
      </c>
      <c r="Z197" s="1" t="str">
        <f t="shared" si="117"/>
        <v/>
      </c>
      <c r="AA197" s="1" t="str">
        <f t="shared" si="118"/>
        <v/>
      </c>
      <c r="AB197" s="1" t="str">
        <f t="shared" si="119"/>
        <v/>
      </c>
      <c r="AC197" s="1" t="str">
        <f t="shared" si="120"/>
        <v/>
      </c>
      <c r="AD197" s="1" t="str">
        <f t="shared" si="121"/>
        <v/>
      </c>
    </row>
    <row r="198" spans="3:30">
      <c r="C198" s="1"/>
      <c r="D198" s="1" t="str">
        <f t="shared" si="122"/>
        <v/>
      </c>
      <c r="F198" s="1"/>
      <c r="G198" s="1" t="str">
        <f t="shared" si="105"/>
        <v/>
      </c>
      <c r="H198" s="7" t="str">
        <f t="shared" si="124"/>
        <v/>
      </c>
      <c r="I198"/>
      <c r="J198" s="1" t="str">
        <f t="shared" si="106"/>
        <v/>
      </c>
      <c r="K198" s="1" t="str">
        <f t="shared" si="125"/>
        <v/>
      </c>
      <c r="L198" s="1"/>
      <c r="M198" t="str">
        <f t="shared" si="107"/>
        <v/>
      </c>
      <c r="N198" s="1" t="str">
        <f t="shared" si="123"/>
        <v/>
      </c>
      <c r="Q198" s="1" t="str">
        <f t="shared" si="108"/>
        <v/>
      </c>
      <c r="R198" s="1" t="str">
        <f t="shared" si="109"/>
        <v/>
      </c>
      <c r="S198" s="1" t="str">
        <f t="shared" si="110"/>
        <v/>
      </c>
      <c r="T198" s="1" t="str">
        <f t="shared" si="111"/>
        <v/>
      </c>
      <c r="U198" s="1" t="str">
        <f t="shared" si="112"/>
        <v/>
      </c>
      <c r="V198" s="1" t="str">
        <f t="shared" si="113"/>
        <v/>
      </c>
      <c r="W198" s="1" t="str">
        <f t="shared" si="114"/>
        <v/>
      </c>
      <c r="X198" s="1" t="str">
        <f t="shared" si="115"/>
        <v/>
      </c>
      <c r="Y198" s="1" t="str">
        <f t="shared" si="116"/>
        <v/>
      </c>
      <c r="Z198" s="1" t="str">
        <f t="shared" si="117"/>
        <v/>
      </c>
      <c r="AA198" s="1" t="str">
        <f t="shared" si="118"/>
        <v/>
      </c>
      <c r="AB198" s="1" t="str">
        <f t="shared" si="119"/>
        <v/>
      </c>
      <c r="AC198" s="1" t="str">
        <f t="shared" si="120"/>
        <v/>
      </c>
      <c r="AD198" s="1" t="str">
        <f t="shared" si="121"/>
        <v/>
      </c>
    </row>
    <row r="199" spans="3:30">
      <c r="C199" s="1"/>
      <c r="D199" s="1" t="str">
        <f t="shared" si="122"/>
        <v/>
      </c>
      <c r="F199" s="1"/>
      <c r="G199" s="1" t="str">
        <f t="shared" si="105"/>
        <v/>
      </c>
      <c r="H199" s="7" t="str">
        <f t="shared" si="124"/>
        <v/>
      </c>
      <c r="I199"/>
      <c r="J199" s="1" t="str">
        <f t="shared" si="106"/>
        <v/>
      </c>
      <c r="K199" s="1" t="str">
        <f t="shared" si="125"/>
        <v/>
      </c>
      <c r="L199" s="1"/>
      <c r="M199" t="str">
        <f t="shared" si="107"/>
        <v/>
      </c>
      <c r="N199" s="1" t="str">
        <f t="shared" si="123"/>
        <v/>
      </c>
      <c r="Q199" s="1" t="str">
        <f t="shared" si="108"/>
        <v/>
      </c>
      <c r="R199" s="1" t="str">
        <f t="shared" si="109"/>
        <v/>
      </c>
      <c r="S199" s="1" t="str">
        <f t="shared" si="110"/>
        <v/>
      </c>
      <c r="T199" s="1" t="str">
        <f t="shared" si="111"/>
        <v/>
      </c>
      <c r="U199" s="1" t="str">
        <f t="shared" si="112"/>
        <v/>
      </c>
      <c r="V199" s="1" t="str">
        <f t="shared" si="113"/>
        <v/>
      </c>
      <c r="W199" s="1" t="str">
        <f t="shared" si="114"/>
        <v/>
      </c>
      <c r="X199" s="1" t="str">
        <f t="shared" si="115"/>
        <v/>
      </c>
      <c r="Y199" s="1" t="str">
        <f t="shared" si="116"/>
        <v/>
      </c>
      <c r="Z199" s="1" t="str">
        <f t="shared" si="117"/>
        <v/>
      </c>
      <c r="AA199" s="1" t="str">
        <f t="shared" si="118"/>
        <v/>
      </c>
      <c r="AB199" s="1" t="str">
        <f t="shared" si="119"/>
        <v/>
      </c>
      <c r="AC199" s="1" t="str">
        <f t="shared" si="120"/>
        <v/>
      </c>
      <c r="AD199" s="1" t="str">
        <f t="shared" si="121"/>
        <v/>
      </c>
    </row>
    <row r="200" spans="3:30">
      <c r="C200" s="1"/>
      <c r="D200" s="1" t="str">
        <f t="shared" si="122"/>
        <v/>
      </c>
      <c r="F200" s="1"/>
      <c r="G200" s="1" t="str">
        <f t="shared" si="105"/>
        <v/>
      </c>
      <c r="H200" s="7" t="str">
        <f t="shared" si="124"/>
        <v/>
      </c>
      <c r="I200"/>
      <c r="J200" s="1" t="str">
        <f t="shared" si="106"/>
        <v/>
      </c>
      <c r="K200" s="1" t="str">
        <f t="shared" si="125"/>
        <v/>
      </c>
      <c r="L200" s="1"/>
      <c r="M200" t="str">
        <f t="shared" si="107"/>
        <v/>
      </c>
      <c r="N200" s="1" t="str">
        <f t="shared" si="123"/>
        <v/>
      </c>
      <c r="Q200" s="1" t="str">
        <f t="shared" si="108"/>
        <v/>
      </c>
      <c r="R200" s="1" t="str">
        <f t="shared" si="109"/>
        <v/>
      </c>
      <c r="S200" s="1" t="str">
        <f t="shared" si="110"/>
        <v/>
      </c>
      <c r="T200" s="1" t="str">
        <f t="shared" si="111"/>
        <v/>
      </c>
      <c r="U200" s="1" t="str">
        <f t="shared" si="112"/>
        <v/>
      </c>
      <c r="V200" s="1" t="str">
        <f t="shared" si="113"/>
        <v/>
      </c>
      <c r="W200" s="1" t="str">
        <f t="shared" si="114"/>
        <v/>
      </c>
      <c r="X200" s="1" t="str">
        <f t="shared" si="115"/>
        <v/>
      </c>
      <c r="Y200" s="1" t="str">
        <f t="shared" si="116"/>
        <v/>
      </c>
      <c r="Z200" s="1" t="str">
        <f t="shared" si="117"/>
        <v/>
      </c>
      <c r="AA200" s="1" t="str">
        <f t="shared" si="118"/>
        <v/>
      </c>
      <c r="AB200" s="1" t="str">
        <f t="shared" si="119"/>
        <v/>
      </c>
      <c r="AC200" s="1" t="str">
        <f t="shared" si="120"/>
        <v/>
      </c>
      <c r="AD200" s="1" t="str">
        <f t="shared" si="121"/>
        <v/>
      </c>
    </row>
    <row r="201" spans="3:30">
      <c r="C201" s="1"/>
      <c r="D201" s="1" t="str">
        <f t="shared" si="122"/>
        <v/>
      </c>
      <c r="F201" s="1"/>
      <c r="G201" s="1" t="str">
        <f t="shared" si="105"/>
        <v/>
      </c>
      <c r="H201" s="7" t="str">
        <f t="shared" si="124"/>
        <v/>
      </c>
      <c r="I201"/>
      <c r="J201" s="1" t="str">
        <f t="shared" si="106"/>
        <v/>
      </c>
      <c r="K201" s="1" t="str">
        <f t="shared" si="125"/>
        <v/>
      </c>
      <c r="L201" s="1"/>
      <c r="M201" t="str">
        <f t="shared" si="107"/>
        <v/>
      </c>
      <c r="N201" s="1" t="str">
        <f t="shared" si="123"/>
        <v/>
      </c>
      <c r="Q201" s="1" t="str">
        <f t="shared" si="108"/>
        <v/>
      </c>
      <c r="R201" s="1" t="str">
        <f t="shared" si="109"/>
        <v/>
      </c>
      <c r="S201" s="1" t="str">
        <f t="shared" si="110"/>
        <v/>
      </c>
      <c r="T201" s="1" t="str">
        <f t="shared" si="111"/>
        <v/>
      </c>
      <c r="U201" s="1" t="str">
        <f t="shared" si="112"/>
        <v/>
      </c>
      <c r="V201" s="1" t="str">
        <f t="shared" si="113"/>
        <v/>
      </c>
      <c r="W201" s="1" t="str">
        <f t="shared" si="114"/>
        <v/>
      </c>
      <c r="X201" s="1" t="str">
        <f t="shared" si="115"/>
        <v/>
      </c>
      <c r="Y201" s="1" t="str">
        <f t="shared" si="116"/>
        <v/>
      </c>
      <c r="Z201" s="1" t="str">
        <f t="shared" si="117"/>
        <v/>
      </c>
      <c r="AA201" s="1" t="str">
        <f t="shared" si="118"/>
        <v/>
      </c>
      <c r="AB201" s="1" t="str">
        <f t="shared" si="119"/>
        <v/>
      </c>
      <c r="AC201" s="1" t="str">
        <f t="shared" si="120"/>
        <v/>
      </c>
      <c r="AD201" s="1" t="str">
        <f t="shared" si="121"/>
        <v/>
      </c>
    </row>
    <row r="202" spans="3:30">
      <c r="C202" s="1"/>
      <c r="D202" s="1" t="str">
        <f t="shared" si="122"/>
        <v/>
      </c>
      <c r="F202" s="1"/>
      <c r="G202" s="1" t="str">
        <f t="shared" si="105"/>
        <v/>
      </c>
      <c r="H202" s="7" t="str">
        <f t="shared" si="124"/>
        <v/>
      </c>
      <c r="I202"/>
      <c r="J202" s="1" t="str">
        <f t="shared" si="106"/>
        <v/>
      </c>
      <c r="K202" s="1" t="str">
        <f t="shared" si="125"/>
        <v/>
      </c>
      <c r="L202" s="1"/>
      <c r="M202" t="str">
        <f t="shared" si="107"/>
        <v/>
      </c>
      <c r="N202" s="1" t="str">
        <f t="shared" si="123"/>
        <v/>
      </c>
      <c r="Q202" s="1" t="str">
        <f t="shared" si="108"/>
        <v/>
      </c>
      <c r="R202" s="1" t="str">
        <f t="shared" si="109"/>
        <v/>
      </c>
      <c r="S202" s="1" t="str">
        <f t="shared" si="110"/>
        <v/>
      </c>
      <c r="T202" s="1" t="str">
        <f t="shared" si="111"/>
        <v/>
      </c>
      <c r="U202" s="1" t="str">
        <f t="shared" si="112"/>
        <v/>
      </c>
      <c r="V202" s="1" t="str">
        <f t="shared" si="113"/>
        <v/>
      </c>
      <c r="W202" s="1" t="str">
        <f t="shared" si="114"/>
        <v/>
      </c>
      <c r="X202" s="1" t="str">
        <f t="shared" si="115"/>
        <v/>
      </c>
      <c r="Y202" s="1" t="str">
        <f t="shared" si="116"/>
        <v/>
      </c>
      <c r="Z202" s="1" t="str">
        <f t="shared" si="117"/>
        <v/>
      </c>
      <c r="AA202" s="1" t="str">
        <f t="shared" si="118"/>
        <v/>
      </c>
      <c r="AB202" s="1" t="str">
        <f t="shared" si="119"/>
        <v/>
      </c>
      <c r="AC202" s="1" t="str">
        <f t="shared" si="120"/>
        <v/>
      </c>
      <c r="AD202" s="1" t="str">
        <f t="shared" si="121"/>
        <v/>
      </c>
    </row>
    <row r="203" spans="3:30">
      <c r="C203" s="1"/>
      <c r="D203" s="1" t="str">
        <f t="shared" si="122"/>
        <v/>
      </c>
      <c r="F203" s="1"/>
      <c r="G203" s="1" t="str">
        <f t="shared" si="105"/>
        <v/>
      </c>
      <c r="H203" s="7" t="str">
        <f t="shared" si="124"/>
        <v/>
      </c>
      <c r="I203"/>
      <c r="J203" s="1" t="str">
        <f t="shared" si="106"/>
        <v/>
      </c>
      <c r="K203" s="1" t="str">
        <f t="shared" si="125"/>
        <v/>
      </c>
      <c r="L203" s="1"/>
      <c r="M203" t="str">
        <f t="shared" si="107"/>
        <v/>
      </c>
      <c r="N203" s="1" t="str">
        <f t="shared" si="123"/>
        <v/>
      </c>
      <c r="Q203" s="1" t="str">
        <f t="shared" si="108"/>
        <v/>
      </c>
      <c r="R203" s="1" t="str">
        <f t="shared" si="109"/>
        <v/>
      </c>
      <c r="S203" s="1" t="str">
        <f t="shared" si="110"/>
        <v/>
      </c>
      <c r="T203" s="1" t="str">
        <f t="shared" si="111"/>
        <v/>
      </c>
      <c r="U203" s="1" t="str">
        <f t="shared" si="112"/>
        <v/>
      </c>
      <c r="V203" s="1" t="str">
        <f t="shared" si="113"/>
        <v/>
      </c>
      <c r="W203" s="1" t="str">
        <f t="shared" si="114"/>
        <v/>
      </c>
      <c r="X203" s="1" t="str">
        <f t="shared" si="115"/>
        <v/>
      </c>
      <c r="Y203" s="1" t="str">
        <f t="shared" si="116"/>
        <v/>
      </c>
      <c r="Z203" s="1" t="str">
        <f t="shared" si="117"/>
        <v/>
      </c>
      <c r="AA203" s="1" t="str">
        <f t="shared" si="118"/>
        <v/>
      </c>
      <c r="AB203" s="1" t="str">
        <f t="shared" si="119"/>
        <v/>
      </c>
      <c r="AC203" s="1" t="str">
        <f t="shared" si="120"/>
        <v/>
      </c>
      <c r="AD203" s="1" t="str">
        <f t="shared" si="121"/>
        <v/>
      </c>
    </row>
    <row r="204" spans="3:30">
      <c r="C204" s="1"/>
      <c r="D204" s="1" t="str">
        <f t="shared" si="122"/>
        <v/>
      </c>
      <c r="F204" s="1"/>
      <c r="G204" s="1" t="str">
        <f t="shared" si="105"/>
        <v/>
      </c>
      <c r="H204" s="7" t="str">
        <f t="shared" si="124"/>
        <v/>
      </c>
      <c r="I204"/>
      <c r="J204" s="1" t="str">
        <f t="shared" si="106"/>
        <v/>
      </c>
      <c r="K204" s="1" t="str">
        <f t="shared" si="125"/>
        <v/>
      </c>
      <c r="L204" s="1"/>
      <c r="M204" t="str">
        <f t="shared" si="107"/>
        <v/>
      </c>
      <c r="N204" s="1" t="str">
        <f t="shared" si="123"/>
        <v/>
      </c>
      <c r="Q204" s="1" t="str">
        <f t="shared" si="108"/>
        <v/>
      </c>
      <c r="R204" s="1" t="str">
        <f t="shared" si="109"/>
        <v/>
      </c>
      <c r="S204" s="1" t="str">
        <f t="shared" si="110"/>
        <v/>
      </c>
      <c r="T204" s="1" t="str">
        <f t="shared" si="111"/>
        <v/>
      </c>
      <c r="U204" s="1" t="str">
        <f t="shared" si="112"/>
        <v/>
      </c>
      <c r="V204" s="1" t="str">
        <f t="shared" si="113"/>
        <v/>
      </c>
      <c r="W204" s="1" t="str">
        <f t="shared" si="114"/>
        <v/>
      </c>
      <c r="X204" s="1" t="str">
        <f t="shared" si="115"/>
        <v/>
      </c>
      <c r="Y204" s="1" t="str">
        <f t="shared" si="116"/>
        <v/>
      </c>
      <c r="Z204" s="1" t="str">
        <f t="shared" si="117"/>
        <v/>
      </c>
      <c r="AA204" s="1" t="str">
        <f t="shared" si="118"/>
        <v/>
      </c>
      <c r="AB204" s="1" t="str">
        <f t="shared" si="119"/>
        <v/>
      </c>
      <c r="AC204" s="1" t="str">
        <f t="shared" si="120"/>
        <v/>
      </c>
      <c r="AD204" s="1" t="str">
        <f t="shared" si="121"/>
        <v/>
      </c>
    </row>
    <row r="205" spans="3:3">
      <c r="C205" s="1"/>
    </row>
    <row r="206" spans="3:3">
      <c r="C206" s="1"/>
    </row>
    <row r="207" spans="3:3">
      <c r="C207" s="1"/>
    </row>
    <row r="208" spans="3:3">
      <c r="C208" s="1"/>
    </row>
    <row r="209" spans="3:3">
      <c r="C209" s="1"/>
    </row>
    <row r="210" spans="3:3">
      <c r="C210" s="1"/>
    </row>
    <row r="211" spans="3:3">
      <c r="C211" s="1"/>
    </row>
    <row r="212" spans="3:3">
      <c r="C212" s="1"/>
    </row>
    <row r="213" spans="3:3">
      <c r="C213" s="1"/>
    </row>
    <row r="214" spans="3:3">
      <c r="C214" s="1"/>
    </row>
    <row r="215" spans="3:3">
      <c r="C215" s="1"/>
    </row>
    <row r="216" spans="3:3">
      <c r="C216" s="1"/>
    </row>
    <row r="217" spans="3:3">
      <c r="C217" s="1"/>
    </row>
    <row r="218" spans="3:3">
      <c r="C218" s="1"/>
    </row>
  </sheetData>
  <pageMargins left="0.75" right="0.75" top="1" bottom="1" header="0.5" footer="0.5"/>
  <headerFooter/>
  <ignoredErrors>
    <ignoredError sqref="Q10:V204 J43:J204 J42 J10:K41 H10:H41 E10:F204 Q9:V9 J9:K9 Q8:V8 J8:K8 Q7:V7 J7:K7 B10:B204 B9 B7:B8 Q6:V6 J6:K6 H6 B6 K5:L5 H5 E5:F5 X5 X6:X204 H9 H8 H7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7" tint="0.8"/>
  </sheetPr>
  <dimension ref="A1:X24"/>
  <sheetViews>
    <sheetView workbookViewId="0">
      <selection activeCell="A24" sqref="A24"/>
    </sheetView>
  </sheetViews>
  <sheetFormatPr defaultColWidth="9" defaultRowHeight="13.5"/>
  <cols>
    <col min="2" max="2" width="19.125" customWidth="1"/>
    <col min="11" max="13" width="9.375"/>
    <col min="14" max="14" width="7.875" customWidth="1"/>
  </cols>
  <sheetData>
    <row r="1" spans="1:24">
      <c r="A1" s="1" t="s">
        <v>123</v>
      </c>
      <c r="B1" s="1" t="s">
        <v>124</v>
      </c>
      <c r="C1" s="1" t="s">
        <v>189</v>
      </c>
      <c r="D1" s="1" t="s">
        <v>190</v>
      </c>
      <c r="E1" s="1" t="s">
        <v>191</v>
      </c>
      <c r="F1" s="1" t="s">
        <v>192</v>
      </c>
      <c r="G1" s="1" t="s">
        <v>193</v>
      </c>
      <c r="H1" s="1" t="s">
        <v>194</v>
      </c>
      <c r="I1" s="1" t="s">
        <v>195</v>
      </c>
      <c r="J1" s="1" t="s">
        <v>196</v>
      </c>
      <c r="K1" s="1" t="s">
        <v>197</v>
      </c>
      <c r="L1" s="1" t="s">
        <v>198</v>
      </c>
      <c r="M1" s="1" t="s">
        <v>199</v>
      </c>
      <c r="N1" s="1" t="s">
        <v>200</v>
      </c>
      <c r="O1" s="1" t="s">
        <v>201</v>
      </c>
      <c r="P1" s="4" t="s">
        <v>202</v>
      </c>
      <c r="Q1" s="4" t="s">
        <v>203</v>
      </c>
      <c r="R1" s="4" t="s">
        <v>204</v>
      </c>
      <c r="S1" s="4" t="s">
        <v>205</v>
      </c>
      <c r="T1" s="1" t="s">
        <v>206</v>
      </c>
      <c r="U1" s="1" t="s">
        <v>207</v>
      </c>
      <c r="V1" s="1" t="s">
        <v>208</v>
      </c>
      <c r="W1" s="1" t="s">
        <v>209</v>
      </c>
      <c r="X1" s="1" t="s">
        <v>210</v>
      </c>
    </row>
    <row r="2" spans="1:24">
      <c r="A2" s="1" t="s">
        <v>153</v>
      </c>
      <c r="B2" s="1" t="s">
        <v>154</v>
      </c>
      <c r="C2" s="1" t="s">
        <v>153</v>
      </c>
      <c r="D2" s="1" t="s">
        <v>153</v>
      </c>
      <c r="E2" s="1" t="s">
        <v>153</v>
      </c>
      <c r="F2" s="1" t="s">
        <v>153</v>
      </c>
      <c r="G2" s="1" t="s">
        <v>153</v>
      </c>
      <c r="H2" s="1" t="s">
        <v>153</v>
      </c>
      <c r="I2" s="1" t="s">
        <v>153</v>
      </c>
      <c r="J2" s="1" t="s">
        <v>153</v>
      </c>
      <c r="K2" s="1" t="s">
        <v>155</v>
      </c>
      <c r="L2" s="1" t="s">
        <v>155</v>
      </c>
      <c r="M2" s="1" t="s">
        <v>155</v>
      </c>
      <c r="N2" s="1" t="s">
        <v>155</v>
      </c>
      <c r="O2" s="1" t="s">
        <v>153</v>
      </c>
      <c r="P2" s="4" t="s">
        <v>153</v>
      </c>
      <c r="Q2" s="4" t="s">
        <v>153</v>
      </c>
      <c r="R2" s="4" t="s">
        <v>153</v>
      </c>
      <c r="S2" s="4" t="s">
        <v>153</v>
      </c>
      <c r="T2" s="1" t="s">
        <v>153</v>
      </c>
      <c r="U2" s="1" t="s">
        <v>153</v>
      </c>
      <c r="V2" s="1" t="s">
        <v>153</v>
      </c>
      <c r="W2" s="1" t="s">
        <v>154</v>
      </c>
      <c r="X2" s="1" t="s">
        <v>154</v>
      </c>
    </row>
    <row r="3" spans="1:24">
      <c r="A3" s="1" t="s">
        <v>211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4"/>
      <c r="Q3" s="4"/>
      <c r="R3" s="4"/>
      <c r="S3" s="4"/>
      <c r="T3" s="1"/>
      <c r="U3" s="1"/>
      <c r="V3" s="1"/>
      <c r="W3" s="1"/>
      <c r="X3" s="1"/>
    </row>
    <row r="4" spans="1:24">
      <c r="A4" s="1" t="s">
        <v>212</v>
      </c>
      <c r="B4" s="1" t="s">
        <v>213</v>
      </c>
      <c r="C4" s="1" t="s">
        <v>189</v>
      </c>
      <c r="D4" s="1" t="s">
        <v>214</v>
      </c>
      <c r="E4" s="1" t="s">
        <v>215</v>
      </c>
      <c r="F4" s="1" t="s">
        <v>216</v>
      </c>
      <c r="G4" s="1" t="s">
        <v>89</v>
      </c>
      <c r="H4" s="1" t="s">
        <v>217</v>
      </c>
      <c r="I4" s="1" t="s">
        <v>217</v>
      </c>
      <c r="J4" s="1" t="s">
        <v>217</v>
      </c>
      <c r="K4" s="1" t="s">
        <v>90</v>
      </c>
      <c r="L4" s="1" t="s">
        <v>91</v>
      </c>
      <c r="M4" s="1" t="s">
        <v>92</v>
      </c>
      <c r="N4" s="1" t="s">
        <v>218</v>
      </c>
      <c r="O4" s="1" t="s">
        <v>219</v>
      </c>
      <c r="P4" s="4" t="s">
        <v>220</v>
      </c>
      <c r="Q4" s="4" t="s">
        <v>221</v>
      </c>
      <c r="R4" s="4" t="s">
        <v>222</v>
      </c>
      <c r="S4" s="4" t="s">
        <v>223</v>
      </c>
      <c r="T4" s="1" t="s">
        <v>224</v>
      </c>
      <c r="U4" s="1" t="s">
        <v>225</v>
      </c>
      <c r="V4" s="1" t="s">
        <v>226</v>
      </c>
      <c r="W4" s="1" t="s">
        <v>227</v>
      </c>
      <c r="X4" s="1" t="s">
        <v>228</v>
      </c>
    </row>
    <row r="5" spans="1:24">
      <c r="A5">
        <f>IF($D5="","",捏造NPC!$H$2+ROW()-5)</f>
        <v>2000</v>
      </c>
      <c r="B5" s="1" t="str">
        <f>IF($C5="","",VLOOKUP($C5,捏造NPC!$A:$AB,5,0))</f>
        <v>资12-军衔-夏风</v>
      </c>
      <c r="C5">
        <v>1000</v>
      </c>
      <c r="D5" s="1">
        <f>IF($C5="","",C5)</f>
        <v>1000</v>
      </c>
      <c r="E5" s="1">
        <f>IF($A5="","",-1)</f>
        <v>-1</v>
      </c>
      <c r="F5" s="1">
        <f>IF($A5="","",-1)</f>
        <v>-1</v>
      </c>
      <c r="G5" s="1">
        <f>IF($C5="","",VLOOKUP($C5,捏造NPC!$A:$AB,11,0))</f>
        <v>6</v>
      </c>
      <c r="H5" s="1">
        <f>IF($A5="","",-1)</f>
        <v>-1</v>
      </c>
      <c r="I5" s="1">
        <f>IF($A5="","",-1)</f>
        <v>-1</v>
      </c>
      <c r="J5" s="1">
        <f>IF($A5="","",-1)</f>
        <v>-1</v>
      </c>
      <c r="K5" s="1">
        <f>IF($C5="","",VLOOKUP($C5,捏造NPC!$A:$AB,12,0))</f>
        <v>111</v>
      </c>
      <c r="L5" s="1">
        <f>IF($C5="","",VLOOKUP($C5,捏造NPC!$A:$AB,13,0))</f>
        <v>322</v>
      </c>
      <c r="M5" s="1">
        <f>IF($C5="","",VLOOKUP($C5,捏造NPC!$A:$AB,14,0))</f>
        <v>213</v>
      </c>
      <c r="N5" s="2">
        <f>IF($C5="","",(90-VLOOKUP($C5,捏造NPC!$A:$AB,15,0))*3.1415926/180)</f>
        <v>-1.5707963</v>
      </c>
      <c r="O5" s="1">
        <f>IF($A5="","",-1)</f>
        <v>-1</v>
      </c>
      <c r="P5" s="1">
        <f>IF($A5="","",-1)</f>
        <v>-1</v>
      </c>
      <c r="Q5" s="1">
        <f>IF($A5="","",-1)</f>
        <v>-1</v>
      </c>
      <c r="R5" s="1">
        <f>IF($A5="","",-1)</f>
        <v>-1</v>
      </c>
      <c r="S5" s="1">
        <f>IF($A5="","",-1)</f>
        <v>-1</v>
      </c>
      <c r="T5" s="1">
        <f>IF($A5="","",-1)</f>
        <v>-1</v>
      </c>
      <c r="U5" s="1">
        <f>IF($A5="","",0)</f>
        <v>0</v>
      </c>
      <c r="V5" s="1">
        <f>IF($A5="","",0)</f>
        <v>0</v>
      </c>
      <c r="W5" s="1">
        <f>IF($A5="","",-1)</f>
        <v>-1</v>
      </c>
      <c r="X5" s="1">
        <f>IF($A5="","",-1)</f>
        <v>-1</v>
      </c>
    </row>
    <row r="6" spans="1:24">
      <c r="A6">
        <f>IF($D6="","",捏造NPC!$H$2+ROW()-5)</f>
        <v>2001</v>
      </c>
      <c r="B6" s="1" t="str">
        <f>IF($C6="","",VLOOKUP($C6,捏造NPC!$A:$AB,5,0))</f>
        <v>资14-军衔-云隐</v>
      </c>
      <c r="C6">
        <v>1002</v>
      </c>
      <c r="D6" s="1">
        <f t="shared" ref="D6:D24" si="0">IF($C6="","",C6)</f>
        <v>1002</v>
      </c>
      <c r="E6" s="1">
        <f t="shared" ref="E6:E27" si="1">IF($A6="","",-1)</f>
        <v>-1</v>
      </c>
      <c r="F6" s="1">
        <f t="shared" ref="F6:F27" si="2">IF($A6="","",-1)</f>
        <v>-1</v>
      </c>
      <c r="G6" s="1">
        <f>IF($C6="","",VLOOKUP($C6,捏造NPC!$A:$AB,11,0))</f>
        <v>8</v>
      </c>
      <c r="H6" s="1">
        <f t="shared" ref="H6:H27" si="3">IF($A6="","",-1)</f>
        <v>-1</v>
      </c>
      <c r="I6" s="1">
        <f t="shared" ref="I6:I27" si="4">IF($A6="","",-1)</f>
        <v>-1</v>
      </c>
      <c r="J6" s="1">
        <f t="shared" ref="J6:J27" si="5">IF($A6="","",-1)</f>
        <v>-1</v>
      </c>
      <c r="K6" s="1">
        <f>IF($C6="","",VLOOKUP($C6,捏造NPC!$A:$AB,12,0))</f>
        <v>122</v>
      </c>
      <c r="L6" s="1">
        <f>IF($C6="","",VLOOKUP($C6,捏造NPC!$A:$AB,13,0))</f>
        <v>44</v>
      </c>
      <c r="M6" s="1">
        <f>IF($C6="","",VLOOKUP($C6,捏造NPC!$A:$AB,14,0))</f>
        <v>66</v>
      </c>
      <c r="N6" s="2">
        <f>IF($C6="","",(90-VLOOKUP($C6,捏造NPC!$A:$AB,15,0))*3.1415926/180)</f>
        <v>1.5707963</v>
      </c>
      <c r="O6" s="1">
        <f t="shared" ref="O6:O27" si="6">IF($A6="","",-1)</f>
        <v>-1</v>
      </c>
      <c r="P6" s="1">
        <f t="shared" ref="P6:P27" si="7">IF($A6="","",-1)</f>
        <v>-1</v>
      </c>
      <c r="Q6" s="1">
        <f t="shared" ref="Q6:Q27" si="8">IF($A6="","",-1)</f>
        <v>-1</v>
      </c>
      <c r="R6" s="1">
        <f t="shared" ref="R6:R27" si="9">IF($A6="","",-1)</f>
        <v>-1</v>
      </c>
      <c r="S6" s="1">
        <f t="shared" ref="S6:S27" si="10">IF($A6="","",-1)</f>
        <v>-1</v>
      </c>
      <c r="T6" s="1">
        <f t="shared" ref="T6:T27" si="11">IF($A6="","",-1)</f>
        <v>-1</v>
      </c>
      <c r="U6" s="1">
        <f t="shared" ref="U6:U27" si="12">IF($A6="","",0)</f>
        <v>0</v>
      </c>
      <c r="V6" s="1">
        <f t="shared" ref="V6:V27" si="13">IF($A6="","",0)</f>
        <v>0</v>
      </c>
      <c r="W6" s="1">
        <f t="shared" ref="W6:W27" si="14">IF($A6="","",-1)</f>
        <v>-1</v>
      </c>
      <c r="X6" s="1">
        <f t="shared" ref="X6:X27" si="15">IF($A6="","",-1)</f>
        <v>-1</v>
      </c>
    </row>
    <row r="7" spans="1:24">
      <c r="A7" t="str">
        <f>IF($D7="","",捏造NPC!$H$2+ROW()-5)</f>
        <v/>
      </c>
      <c r="B7" s="1" t="str">
        <f>IF($C7="","",VLOOKUP($C7,捏造NPC!$A:$AB,5,0))</f>
        <v/>
      </c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>IF($C7="","",VLOOKUP($C7,捏造NPC!$A:$AB,11,0))</f>
        <v/>
      </c>
      <c r="H7" s="1" t="str">
        <f t="shared" si="3"/>
        <v/>
      </c>
      <c r="I7" s="1" t="str">
        <f t="shared" si="4"/>
        <v/>
      </c>
      <c r="J7" s="1" t="str">
        <f t="shared" si="5"/>
        <v/>
      </c>
      <c r="K7" s="1" t="str">
        <f>IF($C7="","",VLOOKUP($C7,捏造NPC!$A:$AB,12,0))</f>
        <v/>
      </c>
      <c r="L7" s="1" t="str">
        <f>IF($C7="","",VLOOKUP($C7,捏造NPC!$A:$AB,13,0))</f>
        <v/>
      </c>
      <c r="M7" s="1" t="str">
        <f>IF($C7="","",VLOOKUP($C7,捏造NPC!$A:$AB,14,0))</f>
        <v/>
      </c>
      <c r="N7" s="2" t="str">
        <f>IF($C7="","",(90-VLOOKUP($C7,捏造NPC!$A:$AB,15,0))*3.1415926/180)</f>
        <v/>
      </c>
      <c r="O7" s="1" t="str">
        <f t="shared" si="6"/>
        <v/>
      </c>
      <c r="P7" s="1" t="str">
        <f t="shared" si="7"/>
        <v/>
      </c>
      <c r="Q7" s="1" t="str">
        <f t="shared" si="8"/>
        <v/>
      </c>
      <c r="R7" s="1" t="str">
        <f t="shared" si="9"/>
        <v/>
      </c>
      <c r="S7" s="1" t="str">
        <f t="shared" si="10"/>
        <v/>
      </c>
      <c r="T7" s="1" t="str">
        <f t="shared" si="11"/>
        <v/>
      </c>
      <c r="U7" s="1" t="str">
        <f t="shared" si="12"/>
        <v/>
      </c>
      <c r="V7" s="1" t="str">
        <f t="shared" si="13"/>
        <v/>
      </c>
      <c r="W7" s="1" t="str">
        <f t="shared" si="14"/>
        <v/>
      </c>
      <c r="X7" s="1" t="str">
        <f t="shared" si="15"/>
        <v/>
      </c>
    </row>
    <row r="8" spans="1:24">
      <c r="A8" t="str">
        <f>IF($D8="","",捏造NPC!$H$2+ROW()-5)</f>
        <v/>
      </c>
      <c r="B8" s="1" t="str">
        <f>IF($C8="","",VLOOKUP($C8,捏造NPC!$A:$AB,5,0))</f>
        <v/>
      </c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>IF($C8="","",VLOOKUP($C8,捏造NPC!$A:$AB,11,0))</f>
        <v/>
      </c>
      <c r="H8" s="1" t="str">
        <f t="shared" si="3"/>
        <v/>
      </c>
      <c r="I8" s="1" t="str">
        <f t="shared" si="4"/>
        <v/>
      </c>
      <c r="J8" s="1" t="str">
        <f t="shared" si="5"/>
        <v/>
      </c>
      <c r="K8" s="1" t="str">
        <f>IF($C8="","",VLOOKUP($C8,捏造NPC!$A:$AB,12,0))</f>
        <v/>
      </c>
      <c r="L8" s="1" t="str">
        <f>IF($C8="","",VLOOKUP($C8,捏造NPC!$A:$AB,13,0))</f>
        <v/>
      </c>
      <c r="M8" s="1" t="str">
        <f>IF($C8="","",VLOOKUP($C8,捏造NPC!$A:$AB,14,0))</f>
        <v/>
      </c>
      <c r="N8" s="2" t="str">
        <f>IF($C8="","",(90-VLOOKUP($C8,捏造NPC!$A:$AB,15,0))*3.1415926/180)</f>
        <v/>
      </c>
      <c r="O8" s="1" t="str">
        <f t="shared" si="6"/>
        <v/>
      </c>
      <c r="P8" s="1" t="str">
        <f t="shared" si="7"/>
        <v/>
      </c>
      <c r="Q8" s="1" t="str">
        <f t="shared" si="8"/>
        <v/>
      </c>
      <c r="R8" s="1" t="str">
        <f t="shared" si="9"/>
        <v/>
      </c>
      <c r="S8" s="1" t="str">
        <f t="shared" si="10"/>
        <v/>
      </c>
      <c r="T8" s="1" t="str">
        <f t="shared" si="11"/>
        <v/>
      </c>
      <c r="U8" s="1" t="str">
        <f t="shared" si="12"/>
        <v/>
      </c>
      <c r="V8" s="1" t="str">
        <f t="shared" si="13"/>
        <v/>
      </c>
      <c r="W8" s="1" t="str">
        <f t="shared" si="14"/>
        <v/>
      </c>
      <c r="X8" s="1" t="str">
        <f t="shared" si="15"/>
        <v/>
      </c>
    </row>
    <row r="9" spans="1:24">
      <c r="A9" t="str">
        <f>IF($D9="","",捏造NPC!$H$2+ROW()-5)</f>
        <v/>
      </c>
      <c r="B9" s="1" t="str">
        <f>IF($C9="","",VLOOKUP($C9,捏造NPC!$A:$AB,5,0))</f>
        <v/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>IF($C9="","",VLOOKUP($C9,捏造NPC!$A:$AB,11,0))</f>
        <v/>
      </c>
      <c r="H9" s="1" t="str">
        <f t="shared" si="3"/>
        <v/>
      </c>
      <c r="I9" s="1" t="str">
        <f t="shared" si="4"/>
        <v/>
      </c>
      <c r="J9" s="1" t="str">
        <f t="shared" si="5"/>
        <v/>
      </c>
      <c r="K9" s="1" t="str">
        <f>IF($C9="","",VLOOKUP($C9,捏造NPC!$A:$AB,12,0))</f>
        <v/>
      </c>
      <c r="L9" s="1" t="str">
        <f>IF($C9="","",VLOOKUP($C9,捏造NPC!$A:$AB,13,0))</f>
        <v/>
      </c>
      <c r="M9" s="1" t="str">
        <f>IF($C9="","",VLOOKUP($C9,捏造NPC!$A:$AB,14,0))</f>
        <v/>
      </c>
      <c r="N9" s="2" t="str">
        <f>IF($C9="","",(90-VLOOKUP($C9,捏造NPC!$A:$AB,15,0))*3.1415926/180)</f>
        <v/>
      </c>
      <c r="O9" s="1" t="str">
        <f t="shared" si="6"/>
        <v/>
      </c>
      <c r="P9" s="1" t="str">
        <f t="shared" si="7"/>
        <v/>
      </c>
      <c r="Q9" s="1" t="str">
        <f t="shared" si="8"/>
        <v/>
      </c>
      <c r="R9" s="1" t="str">
        <f t="shared" si="9"/>
        <v/>
      </c>
      <c r="S9" s="1" t="str">
        <f t="shared" si="10"/>
        <v/>
      </c>
      <c r="T9" s="1" t="str">
        <f t="shared" si="11"/>
        <v/>
      </c>
      <c r="U9" s="1" t="str">
        <f t="shared" si="12"/>
        <v/>
      </c>
      <c r="V9" s="1" t="str">
        <f t="shared" si="13"/>
        <v/>
      </c>
      <c r="W9" s="1" t="str">
        <f t="shared" si="14"/>
        <v/>
      </c>
      <c r="X9" s="1" t="str">
        <f t="shared" si="15"/>
        <v/>
      </c>
    </row>
    <row r="10" spans="1:24">
      <c r="A10" t="str">
        <f>IF($D10="","",捏造NPC!$H$2+ROW()-5)</f>
        <v/>
      </c>
      <c r="B10" s="1" t="str">
        <f>IF($C10="","",VLOOKUP($C10,捏造NPC!$A:$AB,5,0))</f>
        <v/>
      </c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>IF($C10="","",VLOOKUP($C10,捏造NPC!$A:$AB,11,0))</f>
        <v/>
      </c>
      <c r="H10" s="1" t="str">
        <f t="shared" si="3"/>
        <v/>
      </c>
      <c r="I10" s="1" t="str">
        <f t="shared" si="4"/>
        <v/>
      </c>
      <c r="J10" s="1" t="str">
        <f t="shared" si="5"/>
        <v/>
      </c>
      <c r="K10" s="1" t="str">
        <f>IF($C10="","",VLOOKUP($C10,捏造NPC!$A:$AB,12,0))</f>
        <v/>
      </c>
      <c r="L10" s="1" t="str">
        <f>IF($C10="","",VLOOKUP($C10,捏造NPC!$A:$AB,13,0))</f>
        <v/>
      </c>
      <c r="M10" s="1" t="str">
        <f>IF($C10="","",VLOOKUP($C10,捏造NPC!$A:$AB,14,0))</f>
        <v/>
      </c>
      <c r="N10" s="2" t="str">
        <f>IF($C10="","",(90-VLOOKUP($C10,捏造NPC!$A:$AB,15,0))*3.1415926/180)</f>
        <v/>
      </c>
      <c r="O10" s="1" t="str">
        <f t="shared" si="6"/>
        <v/>
      </c>
      <c r="P10" s="1" t="str">
        <f t="shared" si="7"/>
        <v/>
      </c>
      <c r="Q10" s="1" t="str">
        <f t="shared" si="8"/>
        <v/>
      </c>
      <c r="R10" s="1" t="str">
        <f t="shared" si="9"/>
        <v/>
      </c>
      <c r="S10" s="1" t="str">
        <f t="shared" si="10"/>
        <v/>
      </c>
      <c r="T10" s="1" t="str">
        <f t="shared" si="11"/>
        <v/>
      </c>
      <c r="U10" s="1" t="str">
        <f t="shared" si="12"/>
        <v/>
      </c>
      <c r="V10" s="1" t="str">
        <f t="shared" si="13"/>
        <v/>
      </c>
      <c r="W10" s="1" t="str">
        <f t="shared" si="14"/>
        <v/>
      </c>
      <c r="X10" s="1" t="str">
        <f t="shared" si="15"/>
        <v/>
      </c>
    </row>
    <row r="11" spans="1:24">
      <c r="A11" t="str">
        <f>IF($D11="","",捏造NPC!$H$2+ROW()-5)</f>
        <v/>
      </c>
      <c r="B11" s="1" t="str">
        <f>IF($C11="","",VLOOKUP($C11,捏造NPC!$A:$AB,5,0))</f>
        <v/>
      </c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>IF($C11="","",VLOOKUP($C11,捏造NPC!$A:$AB,11,0))</f>
        <v/>
      </c>
      <c r="H11" s="1" t="str">
        <f t="shared" si="3"/>
        <v/>
      </c>
      <c r="I11" s="1" t="str">
        <f t="shared" si="4"/>
        <v/>
      </c>
      <c r="J11" s="1" t="str">
        <f t="shared" si="5"/>
        <v/>
      </c>
      <c r="K11" s="1" t="str">
        <f>IF($C11="","",VLOOKUP($C11,捏造NPC!$A:$AB,12,0))</f>
        <v/>
      </c>
      <c r="L11" s="1" t="str">
        <f>IF($C11="","",VLOOKUP($C11,捏造NPC!$A:$AB,13,0))</f>
        <v/>
      </c>
      <c r="M11" s="1" t="str">
        <f>IF($C11="","",VLOOKUP($C11,捏造NPC!$A:$AB,14,0))</f>
        <v/>
      </c>
      <c r="N11" s="2" t="str">
        <f>IF($C11="","",(90-VLOOKUP($C11,捏造NPC!$A:$AB,15,0))*3.1415926/180)</f>
        <v/>
      </c>
      <c r="O11" s="1" t="str">
        <f t="shared" si="6"/>
        <v/>
      </c>
      <c r="P11" s="1" t="str">
        <f t="shared" si="7"/>
        <v/>
      </c>
      <c r="Q11" s="1" t="str">
        <f t="shared" si="8"/>
        <v/>
      </c>
      <c r="R11" s="1" t="str">
        <f t="shared" si="9"/>
        <v/>
      </c>
      <c r="S11" s="1" t="str">
        <f t="shared" si="10"/>
        <v/>
      </c>
      <c r="T11" s="1" t="str">
        <f t="shared" si="11"/>
        <v/>
      </c>
      <c r="U11" s="1" t="str">
        <f t="shared" si="12"/>
        <v/>
      </c>
      <c r="V11" s="1" t="str">
        <f t="shared" si="13"/>
        <v/>
      </c>
      <c r="W11" s="1" t="str">
        <f t="shared" si="14"/>
        <v/>
      </c>
      <c r="X11" s="1" t="str">
        <f t="shared" si="15"/>
        <v/>
      </c>
    </row>
    <row r="12" spans="1:24">
      <c r="A12" t="str">
        <f>IF($D12="","",捏造NPC!$H$2+ROW()-5)</f>
        <v/>
      </c>
      <c r="B12" s="1" t="str">
        <f>IF($C12="","",VLOOKUP($C12,捏造NPC!$A:$AB,5,0))</f>
        <v/>
      </c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>IF($C12="","",VLOOKUP($C12,捏造NPC!$A:$AB,11,0))</f>
        <v/>
      </c>
      <c r="H12" s="1" t="str">
        <f t="shared" si="3"/>
        <v/>
      </c>
      <c r="I12" s="1" t="str">
        <f t="shared" si="4"/>
        <v/>
      </c>
      <c r="J12" s="1" t="str">
        <f t="shared" si="5"/>
        <v/>
      </c>
      <c r="K12" s="1" t="str">
        <f>IF($C12="","",VLOOKUP($C12,捏造NPC!$A:$AB,12,0))</f>
        <v/>
      </c>
      <c r="L12" s="1" t="str">
        <f>IF($C12="","",VLOOKUP($C12,捏造NPC!$A:$AB,13,0))</f>
        <v/>
      </c>
      <c r="M12" s="1" t="str">
        <f>IF($C12="","",VLOOKUP($C12,捏造NPC!$A:$AB,14,0))</f>
        <v/>
      </c>
      <c r="N12" s="2" t="str">
        <f>IF($C12="","",(90-VLOOKUP($C12,捏造NPC!$A:$AB,15,0))*3.1415926/180)</f>
        <v/>
      </c>
      <c r="O12" s="1" t="str">
        <f t="shared" si="6"/>
        <v/>
      </c>
      <c r="P12" s="1" t="str">
        <f t="shared" si="7"/>
        <v/>
      </c>
      <c r="Q12" s="1" t="str">
        <f t="shared" si="8"/>
        <v/>
      </c>
      <c r="R12" s="1" t="str">
        <f t="shared" si="9"/>
        <v/>
      </c>
      <c r="S12" s="1" t="str">
        <f t="shared" si="10"/>
        <v/>
      </c>
      <c r="T12" s="1" t="str">
        <f t="shared" si="11"/>
        <v/>
      </c>
      <c r="U12" s="1" t="str">
        <f t="shared" si="12"/>
        <v/>
      </c>
      <c r="V12" s="1" t="str">
        <f t="shared" si="13"/>
        <v/>
      </c>
      <c r="W12" s="1" t="str">
        <f t="shared" si="14"/>
        <v/>
      </c>
      <c r="X12" s="1" t="str">
        <f t="shared" si="15"/>
        <v/>
      </c>
    </row>
    <row r="13" spans="1:24">
      <c r="A13" t="str">
        <f>IF($D13="","",捏造NPC!$H$2+ROW()-5)</f>
        <v/>
      </c>
      <c r="B13" s="1" t="str">
        <f>IF($C13="","",VLOOKUP($C13,捏造NPC!$A:$AB,5,0))</f>
        <v/>
      </c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>IF($C13="","",VLOOKUP($C13,捏造NPC!$A:$AB,11,0))</f>
        <v/>
      </c>
      <c r="H13" s="1" t="str">
        <f t="shared" si="3"/>
        <v/>
      </c>
      <c r="I13" s="1" t="str">
        <f t="shared" si="4"/>
        <v/>
      </c>
      <c r="J13" s="1" t="str">
        <f t="shared" si="5"/>
        <v/>
      </c>
      <c r="K13" s="1" t="str">
        <f>IF($C13="","",VLOOKUP($C13,捏造NPC!$A:$AB,12,0))</f>
        <v/>
      </c>
      <c r="L13" s="1" t="str">
        <f>IF($C13="","",VLOOKUP($C13,捏造NPC!$A:$AB,13,0))</f>
        <v/>
      </c>
      <c r="M13" s="1" t="str">
        <f>IF($C13="","",VLOOKUP($C13,捏造NPC!$A:$AB,14,0))</f>
        <v/>
      </c>
      <c r="N13" s="2" t="str">
        <f>IF($C13="","",(90-VLOOKUP($C13,捏造NPC!$A:$AB,15,0))*3.1415926/180)</f>
        <v/>
      </c>
      <c r="O13" s="1" t="str">
        <f t="shared" si="6"/>
        <v/>
      </c>
      <c r="P13" s="1" t="str">
        <f t="shared" si="7"/>
        <v/>
      </c>
      <c r="Q13" s="1" t="str">
        <f t="shared" si="8"/>
        <v/>
      </c>
      <c r="R13" s="1" t="str">
        <f t="shared" si="9"/>
        <v/>
      </c>
      <c r="S13" s="1" t="str">
        <f t="shared" si="10"/>
        <v/>
      </c>
      <c r="T13" s="1" t="str">
        <f t="shared" si="11"/>
        <v/>
      </c>
      <c r="U13" s="1" t="str">
        <f t="shared" si="12"/>
        <v/>
      </c>
      <c r="V13" s="1" t="str">
        <f t="shared" si="13"/>
        <v/>
      </c>
      <c r="W13" s="1" t="str">
        <f t="shared" si="14"/>
        <v/>
      </c>
      <c r="X13" s="1" t="str">
        <f t="shared" si="15"/>
        <v/>
      </c>
    </row>
    <row r="14" spans="1:24">
      <c r="A14" t="str">
        <f>IF($D14="","",捏造NPC!$H$2+ROW()-5)</f>
        <v/>
      </c>
      <c r="B14" s="1" t="str">
        <f>IF($C14="","",VLOOKUP($C14,捏造NPC!$A:$AB,5,0))</f>
        <v/>
      </c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>IF($C14="","",VLOOKUP($C14,捏造NPC!$A:$AB,11,0))</f>
        <v/>
      </c>
      <c r="H14" s="1" t="str">
        <f t="shared" si="3"/>
        <v/>
      </c>
      <c r="I14" s="1" t="str">
        <f t="shared" si="4"/>
        <v/>
      </c>
      <c r="J14" s="1" t="str">
        <f t="shared" si="5"/>
        <v/>
      </c>
      <c r="K14" s="1" t="str">
        <f>IF($C14="","",VLOOKUP($C14,捏造NPC!$A:$AB,12,0))</f>
        <v/>
      </c>
      <c r="L14" s="1" t="str">
        <f>IF($C14="","",VLOOKUP($C14,捏造NPC!$A:$AB,13,0))</f>
        <v/>
      </c>
      <c r="M14" s="1" t="str">
        <f>IF($C14="","",VLOOKUP($C14,捏造NPC!$A:$AB,14,0))</f>
        <v/>
      </c>
      <c r="N14" s="2" t="str">
        <f>IF($C14="","",(90-VLOOKUP($C14,捏造NPC!$A:$AB,15,0))*3.1415926/180)</f>
        <v/>
      </c>
      <c r="O14" s="1" t="str">
        <f t="shared" si="6"/>
        <v/>
      </c>
      <c r="P14" s="1" t="str">
        <f t="shared" si="7"/>
        <v/>
      </c>
      <c r="Q14" s="1" t="str">
        <f t="shared" si="8"/>
        <v/>
      </c>
      <c r="R14" s="1" t="str">
        <f t="shared" si="9"/>
        <v/>
      </c>
      <c r="S14" s="1" t="str">
        <f t="shared" si="10"/>
        <v/>
      </c>
      <c r="T14" s="1" t="str">
        <f t="shared" si="11"/>
        <v/>
      </c>
      <c r="U14" s="1" t="str">
        <f t="shared" si="12"/>
        <v/>
      </c>
      <c r="V14" s="1" t="str">
        <f t="shared" si="13"/>
        <v/>
      </c>
      <c r="W14" s="1" t="str">
        <f t="shared" si="14"/>
        <v/>
      </c>
      <c r="X14" s="1" t="str">
        <f t="shared" si="15"/>
        <v/>
      </c>
    </row>
    <row r="15" spans="1:24">
      <c r="A15" t="str">
        <f>IF($D15="","",捏造NPC!$H$2+ROW()-5)</f>
        <v/>
      </c>
      <c r="B15" s="1" t="str">
        <f>IF($C15="","",VLOOKUP($C15,捏造NPC!$A:$AB,5,0))</f>
        <v/>
      </c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>IF($C15="","",VLOOKUP($C15,捏造NPC!$A:$AB,11,0))</f>
        <v/>
      </c>
      <c r="H15" s="1" t="str">
        <f t="shared" si="3"/>
        <v/>
      </c>
      <c r="I15" s="1" t="str">
        <f t="shared" si="4"/>
        <v/>
      </c>
      <c r="J15" s="1" t="str">
        <f t="shared" si="5"/>
        <v/>
      </c>
      <c r="K15" s="1" t="str">
        <f>IF($C15="","",VLOOKUP($C15,捏造NPC!$A:$AB,12,0))</f>
        <v/>
      </c>
      <c r="L15" s="1" t="str">
        <f>IF($C15="","",VLOOKUP($C15,捏造NPC!$A:$AB,13,0))</f>
        <v/>
      </c>
      <c r="M15" s="1" t="str">
        <f>IF($C15="","",VLOOKUP($C15,捏造NPC!$A:$AB,14,0))</f>
        <v/>
      </c>
      <c r="N15" s="2" t="str">
        <f>IF($C15="","",(90-VLOOKUP($C15,捏造NPC!$A:$AB,15,0))*3.1415926/180)</f>
        <v/>
      </c>
      <c r="O15" s="1" t="str">
        <f t="shared" si="6"/>
        <v/>
      </c>
      <c r="P15" s="1" t="str">
        <f t="shared" si="7"/>
        <v/>
      </c>
      <c r="Q15" s="1" t="str">
        <f t="shared" si="8"/>
        <v/>
      </c>
      <c r="R15" s="1" t="str">
        <f t="shared" si="9"/>
        <v/>
      </c>
      <c r="S15" s="1" t="str">
        <f t="shared" si="10"/>
        <v/>
      </c>
      <c r="T15" s="1" t="str">
        <f t="shared" si="11"/>
        <v/>
      </c>
      <c r="U15" s="1" t="str">
        <f t="shared" si="12"/>
        <v/>
      </c>
      <c r="V15" s="1" t="str">
        <f t="shared" si="13"/>
        <v/>
      </c>
      <c r="W15" s="1" t="str">
        <f t="shared" si="14"/>
        <v/>
      </c>
      <c r="X15" s="1" t="str">
        <f t="shared" si="15"/>
        <v/>
      </c>
    </row>
    <row r="16" spans="1:24">
      <c r="A16" t="str">
        <f>IF($D16="","",捏造NPC!$H$2+ROW()-5)</f>
        <v/>
      </c>
      <c r="B16" s="1" t="str">
        <f>IF($C16="","",VLOOKUP($C16,捏造NPC!$A:$AB,5,0))</f>
        <v/>
      </c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>IF($C16="","",VLOOKUP($C16,捏造NPC!$A:$AB,11,0))</f>
        <v/>
      </c>
      <c r="H16" s="1" t="str">
        <f t="shared" si="3"/>
        <v/>
      </c>
      <c r="I16" s="1" t="str">
        <f t="shared" si="4"/>
        <v/>
      </c>
      <c r="J16" s="1" t="str">
        <f t="shared" si="5"/>
        <v/>
      </c>
      <c r="K16" s="1" t="str">
        <f>IF($C16="","",VLOOKUP($C16,捏造NPC!$A:$AB,12,0))</f>
        <v/>
      </c>
      <c r="L16" s="1" t="str">
        <f>IF($C16="","",VLOOKUP($C16,捏造NPC!$A:$AB,13,0))</f>
        <v/>
      </c>
      <c r="M16" s="1" t="str">
        <f>IF($C16="","",VLOOKUP($C16,捏造NPC!$A:$AB,14,0))</f>
        <v/>
      </c>
      <c r="N16" s="2" t="str">
        <f>IF($C16="","",(90-VLOOKUP($C16,捏造NPC!$A:$AB,15,0))*3.1415926/180)</f>
        <v/>
      </c>
      <c r="O16" s="1" t="str">
        <f t="shared" si="6"/>
        <v/>
      </c>
      <c r="P16" s="1" t="str">
        <f t="shared" si="7"/>
        <v/>
      </c>
      <c r="Q16" s="1" t="str">
        <f t="shared" si="8"/>
        <v/>
      </c>
      <c r="R16" s="1" t="str">
        <f t="shared" si="9"/>
        <v/>
      </c>
      <c r="S16" s="1" t="str">
        <f t="shared" si="10"/>
        <v/>
      </c>
      <c r="T16" s="1" t="str">
        <f t="shared" si="11"/>
        <v/>
      </c>
      <c r="U16" s="1" t="str">
        <f t="shared" si="12"/>
        <v/>
      </c>
      <c r="V16" s="1" t="str">
        <f t="shared" si="13"/>
        <v/>
      </c>
      <c r="W16" s="1" t="str">
        <f t="shared" si="14"/>
        <v/>
      </c>
      <c r="X16" s="1" t="str">
        <f t="shared" si="15"/>
        <v/>
      </c>
    </row>
    <row r="17" spans="1:24">
      <c r="A17" t="str">
        <f>IF($D17="","",捏造NPC!$H$2+ROW()-5)</f>
        <v/>
      </c>
      <c r="B17" s="1" t="str">
        <f>IF($C17="","",VLOOKUP($C17,捏造NPC!$A:$AB,5,0))</f>
        <v/>
      </c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>IF($C17="","",VLOOKUP($C17,捏造NPC!$A:$AB,11,0))</f>
        <v/>
      </c>
      <c r="H17" s="1" t="str">
        <f t="shared" si="3"/>
        <v/>
      </c>
      <c r="I17" s="1" t="str">
        <f t="shared" si="4"/>
        <v/>
      </c>
      <c r="J17" s="1" t="str">
        <f t="shared" si="5"/>
        <v/>
      </c>
      <c r="K17" s="1" t="str">
        <f>IF($C17="","",VLOOKUP($C17,捏造NPC!$A:$AB,12,0))</f>
        <v/>
      </c>
      <c r="L17" s="1" t="str">
        <f>IF($C17="","",VLOOKUP($C17,捏造NPC!$A:$AB,13,0))</f>
        <v/>
      </c>
      <c r="M17" s="1" t="str">
        <f>IF($C17="","",VLOOKUP($C17,捏造NPC!$A:$AB,14,0))</f>
        <v/>
      </c>
      <c r="N17" s="2" t="str">
        <f>IF($C17="","",(90-VLOOKUP($C17,捏造NPC!$A:$AB,15,0))*3.1415926/180)</f>
        <v/>
      </c>
      <c r="O17" s="1" t="str">
        <f t="shared" si="6"/>
        <v/>
      </c>
      <c r="P17" s="1" t="str">
        <f t="shared" si="7"/>
        <v/>
      </c>
      <c r="Q17" s="1" t="str">
        <f t="shared" si="8"/>
        <v/>
      </c>
      <c r="R17" s="1" t="str">
        <f t="shared" si="9"/>
        <v/>
      </c>
      <c r="S17" s="1" t="str">
        <f t="shared" si="10"/>
        <v/>
      </c>
      <c r="T17" s="1" t="str">
        <f t="shared" si="11"/>
        <v/>
      </c>
      <c r="U17" s="1" t="str">
        <f t="shared" si="12"/>
        <v/>
      </c>
      <c r="V17" s="1" t="str">
        <f t="shared" si="13"/>
        <v/>
      </c>
      <c r="W17" s="1" t="str">
        <f t="shared" si="14"/>
        <v/>
      </c>
      <c r="X17" s="1" t="str">
        <f t="shared" si="15"/>
        <v/>
      </c>
    </row>
    <row r="18" spans="1:24">
      <c r="A18" t="str">
        <f>IF($D18="","",捏造NPC!$H$2+ROW()-5)</f>
        <v/>
      </c>
      <c r="B18" s="1" t="str">
        <f>IF($C18="","",VLOOKUP($C18,捏造NPC!$A:$AB,5,0))</f>
        <v/>
      </c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>IF($C18="","",VLOOKUP($C18,捏造NPC!$A:$AB,11,0))</f>
        <v/>
      </c>
      <c r="H18" s="1" t="str">
        <f t="shared" si="3"/>
        <v/>
      </c>
      <c r="I18" s="1" t="str">
        <f t="shared" si="4"/>
        <v/>
      </c>
      <c r="J18" s="1" t="str">
        <f t="shared" si="5"/>
        <v/>
      </c>
      <c r="K18" s="1" t="str">
        <f>IF($C18="","",VLOOKUP($C18,捏造NPC!$A:$AB,12,0))</f>
        <v/>
      </c>
      <c r="L18" s="1" t="str">
        <f>IF($C18="","",VLOOKUP($C18,捏造NPC!$A:$AB,13,0))</f>
        <v/>
      </c>
      <c r="M18" s="1" t="str">
        <f>IF($C18="","",VLOOKUP($C18,捏造NPC!$A:$AB,14,0))</f>
        <v/>
      </c>
      <c r="N18" s="2" t="str">
        <f>IF($C18="","",(90-VLOOKUP($C18,捏造NPC!$A:$AB,15,0))*3.1415926/180)</f>
        <v/>
      </c>
      <c r="O18" s="1" t="str">
        <f t="shared" si="6"/>
        <v/>
      </c>
      <c r="P18" s="1" t="str">
        <f t="shared" si="7"/>
        <v/>
      </c>
      <c r="Q18" s="1" t="str">
        <f t="shared" si="8"/>
        <v/>
      </c>
      <c r="R18" s="1" t="str">
        <f t="shared" si="9"/>
        <v/>
      </c>
      <c r="S18" s="1" t="str">
        <f t="shared" si="10"/>
        <v/>
      </c>
      <c r="T18" s="1" t="str">
        <f t="shared" si="11"/>
        <v/>
      </c>
      <c r="U18" s="1" t="str">
        <f t="shared" si="12"/>
        <v/>
      </c>
      <c r="V18" s="1" t="str">
        <f t="shared" si="13"/>
        <v/>
      </c>
      <c r="W18" s="1" t="str">
        <f t="shared" si="14"/>
        <v/>
      </c>
      <c r="X18" s="1" t="str">
        <f t="shared" si="15"/>
        <v/>
      </c>
    </row>
    <row r="19" spans="1:24">
      <c r="A19" t="str">
        <f>IF($D19="","",捏造NPC!$H$2+ROW()-5)</f>
        <v/>
      </c>
      <c r="B19" s="1" t="str">
        <f>IF($C19="","",VLOOKUP($C19,捏造NPC!$A:$AB,5,0))</f>
        <v/>
      </c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>IF($C19="","",VLOOKUP($C19,捏造NPC!$A:$AB,11,0))</f>
        <v/>
      </c>
      <c r="H19" s="1" t="str">
        <f t="shared" si="3"/>
        <v/>
      </c>
      <c r="I19" s="1" t="str">
        <f t="shared" si="4"/>
        <v/>
      </c>
      <c r="J19" s="1" t="str">
        <f t="shared" si="5"/>
        <v/>
      </c>
      <c r="K19" s="1" t="str">
        <f>IF($C19="","",VLOOKUP($C19,捏造NPC!$A:$AB,12,0))</f>
        <v/>
      </c>
      <c r="L19" s="1" t="str">
        <f>IF($C19="","",VLOOKUP($C19,捏造NPC!$A:$AB,13,0))</f>
        <v/>
      </c>
      <c r="M19" s="1" t="str">
        <f>IF($C19="","",VLOOKUP($C19,捏造NPC!$A:$AB,14,0))</f>
        <v/>
      </c>
      <c r="N19" s="2" t="str">
        <f>IF($C19="","",(90-VLOOKUP($C19,捏造NPC!$A:$AB,15,0))*3.1415926/180)</f>
        <v/>
      </c>
      <c r="O19" s="1" t="str">
        <f t="shared" si="6"/>
        <v/>
      </c>
      <c r="P19" s="1" t="str">
        <f t="shared" si="7"/>
        <v/>
      </c>
      <c r="Q19" s="1" t="str">
        <f t="shared" si="8"/>
        <v/>
      </c>
      <c r="R19" s="1" t="str">
        <f t="shared" si="9"/>
        <v/>
      </c>
      <c r="S19" s="1" t="str">
        <f t="shared" si="10"/>
        <v/>
      </c>
      <c r="T19" s="1" t="str">
        <f t="shared" si="11"/>
        <v/>
      </c>
      <c r="U19" s="1" t="str">
        <f t="shared" si="12"/>
        <v/>
      </c>
      <c r="V19" s="1" t="str">
        <f t="shared" si="13"/>
        <v/>
      </c>
      <c r="W19" s="1" t="str">
        <f t="shared" si="14"/>
        <v/>
      </c>
      <c r="X19" s="1" t="str">
        <f t="shared" si="15"/>
        <v/>
      </c>
    </row>
    <row r="20" spans="1:24">
      <c r="A20" t="str">
        <f>IF($D20="","",捏造NPC!$H$2+ROW()-5)</f>
        <v/>
      </c>
      <c r="B20" s="1" t="str">
        <f>IF($C20="","",VLOOKUP($C20,捏造NPC!$A:$AB,5,0))</f>
        <v/>
      </c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>IF($C20="","",VLOOKUP($C20,捏造NPC!$A:$AB,11,0))</f>
        <v/>
      </c>
      <c r="H20" s="1" t="str">
        <f t="shared" si="3"/>
        <v/>
      </c>
      <c r="I20" s="1" t="str">
        <f t="shared" si="4"/>
        <v/>
      </c>
      <c r="J20" s="1" t="str">
        <f t="shared" si="5"/>
        <v/>
      </c>
      <c r="K20" s="1" t="str">
        <f>IF($C20="","",VLOOKUP($C20,捏造NPC!$A:$AB,12,0))</f>
        <v/>
      </c>
      <c r="L20" s="1" t="str">
        <f>IF($C20="","",VLOOKUP($C20,捏造NPC!$A:$AB,13,0))</f>
        <v/>
      </c>
      <c r="M20" s="1" t="str">
        <f>IF($C20="","",VLOOKUP($C20,捏造NPC!$A:$AB,14,0))</f>
        <v/>
      </c>
      <c r="N20" s="2" t="str">
        <f>IF($C20="","",(90-VLOOKUP($C20,捏造NPC!$A:$AB,15,0))*3.1415926/180)</f>
        <v/>
      </c>
      <c r="O20" s="1" t="str">
        <f t="shared" si="6"/>
        <v/>
      </c>
      <c r="P20" s="1" t="str">
        <f t="shared" si="7"/>
        <v/>
      </c>
      <c r="Q20" s="1" t="str">
        <f t="shared" si="8"/>
        <v/>
      </c>
      <c r="R20" s="1" t="str">
        <f t="shared" si="9"/>
        <v/>
      </c>
      <c r="S20" s="1" t="str">
        <f t="shared" si="10"/>
        <v/>
      </c>
      <c r="T20" s="1" t="str">
        <f t="shared" si="11"/>
        <v/>
      </c>
      <c r="U20" s="1" t="str">
        <f t="shared" si="12"/>
        <v/>
      </c>
      <c r="V20" s="1" t="str">
        <f t="shared" si="13"/>
        <v/>
      </c>
      <c r="W20" s="1" t="str">
        <f t="shared" si="14"/>
        <v/>
      </c>
      <c r="X20" s="1" t="str">
        <f t="shared" si="15"/>
        <v/>
      </c>
    </row>
    <row r="21" spans="1:24">
      <c r="A21" t="str">
        <f>IF($D21="","",捏造NPC!$H$2+ROW()-5)</f>
        <v/>
      </c>
      <c r="B21" s="1" t="str">
        <f>IF($C21="","",VLOOKUP($C21,捏造NPC!$A:$AB,5,0))</f>
        <v/>
      </c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>IF($C21="","",VLOOKUP($C21,捏造NPC!$A:$AB,11,0))</f>
        <v/>
      </c>
      <c r="H21" s="1" t="str">
        <f t="shared" si="3"/>
        <v/>
      </c>
      <c r="I21" s="1" t="str">
        <f t="shared" si="4"/>
        <v/>
      </c>
      <c r="J21" s="1" t="str">
        <f t="shared" si="5"/>
        <v/>
      </c>
      <c r="K21" s="1" t="str">
        <f>IF($C21="","",VLOOKUP($C21,捏造NPC!$A:$AB,12,0))</f>
        <v/>
      </c>
      <c r="L21" s="1" t="str">
        <f>IF($C21="","",VLOOKUP($C21,捏造NPC!$A:$AB,13,0))</f>
        <v/>
      </c>
      <c r="M21" s="1" t="str">
        <f>IF($C21="","",VLOOKUP($C21,捏造NPC!$A:$AB,14,0))</f>
        <v/>
      </c>
      <c r="N21" s="2" t="str">
        <f>IF($C21="","",(90-VLOOKUP($C21,捏造NPC!$A:$AB,15,0))*3.1415926/180)</f>
        <v/>
      </c>
      <c r="O21" s="1" t="str">
        <f t="shared" si="6"/>
        <v/>
      </c>
      <c r="P21" s="1" t="str">
        <f t="shared" si="7"/>
        <v/>
      </c>
      <c r="Q21" s="1" t="str">
        <f t="shared" si="8"/>
        <v/>
      </c>
      <c r="R21" s="1" t="str">
        <f t="shared" si="9"/>
        <v/>
      </c>
      <c r="S21" s="1" t="str">
        <f t="shared" si="10"/>
        <v/>
      </c>
      <c r="T21" s="1" t="str">
        <f t="shared" si="11"/>
        <v/>
      </c>
      <c r="U21" s="1" t="str">
        <f t="shared" si="12"/>
        <v/>
      </c>
      <c r="V21" s="1" t="str">
        <f t="shared" si="13"/>
        <v/>
      </c>
      <c r="W21" s="1" t="str">
        <f t="shared" si="14"/>
        <v/>
      </c>
      <c r="X21" s="1" t="str">
        <f t="shared" si="15"/>
        <v/>
      </c>
    </row>
    <row r="22" spans="1:24">
      <c r="A22" t="str">
        <f>IF($D22="","",捏造NPC!$H$2+ROW()-5)</f>
        <v/>
      </c>
      <c r="B22" s="1" t="str">
        <f>IF($C22="","",VLOOKUP($C22,捏造NPC!$A:$AB,5,0))</f>
        <v/>
      </c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>IF($C22="","",VLOOKUP($C22,捏造NPC!$A:$AB,11,0))</f>
        <v/>
      </c>
      <c r="H22" s="1" t="str">
        <f t="shared" si="3"/>
        <v/>
      </c>
      <c r="I22" s="1" t="str">
        <f t="shared" si="4"/>
        <v/>
      </c>
      <c r="J22" s="1" t="str">
        <f t="shared" si="5"/>
        <v/>
      </c>
      <c r="K22" s="1" t="str">
        <f>IF($C22="","",VLOOKUP($C22,捏造NPC!$A:$AB,12,0))</f>
        <v/>
      </c>
      <c r="L22" s="1" t="str">
        <f>IF($C22="","",VLOOKUP($C22,捏造NPC!$A:$AB,13,0))</f>
        <v/>
      </c>
      <c r="M22" s="1" t="str">
        <f>IF($C22="","",VLOOKUP($C22,捏造NPC!$A:$AB,14,0))</f>
        <v/>
      </c>
      <c r="N22" s="2" t="str">
        <f>IF($C22="","",(90-VLOOKUP($C22,捏造NPC!$A:$AB,15,0))*3.1415926/180)</f>
        <v/>
      </c>
      <c r="O22" s="1" t="str">
        <f t="shared" si="6"/>
        <v/>
      </c>
      <c r="P22" s="1" t="str">
        <f t="shared" si="7"/>
        <v/>
      </c>
      <c r="Q22" s="1" t="str">
        <f t="shared" si="8"/>
        <v/>
      </c>
      <c r="R22" s="1" t="str">
        <f t="shared" si="9"/>
        <v/>
      </c>
      <c r="S22" s="1" t="str">
        <f t="shared" si="10"/>
        <v/>
      </c>
      <c r="T22" s="1" t="str">
        <f t="shared" si="11"/>
        <v/>
      </c>
      <c r="U22" s="1" t="str">
        <f t="shared" si="12"/>
        <v/>
      </c>
      <c r="V22" s="1" t="str">
        <f t="shared" si="13"/>
        <v/>
      </c>
      <c r="W22" s="1" t="str">
        <f t="shared" si="14"/>
        <v/>
      </c>
      <c r="X22" s="1" t="str">
        <f t="shared" si="15"/>
        <v/>
      </c>
    </row>
    <row r="23" spans="1:24">
      <c r="A23" t="str">
        <f>IF($D23="","",捏造NPC!$H$2+ROW()-5)</f>
        <v/>
      </c>
      <c r="B23" s="1" t="str">
        <f>IF($C23="","",VLOOKUP($C23,捏造NPC!$A:$AB,5,0))</f>
        <v/>
      </c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>IF($C23="","",VLOOKUP($C23,捏造NPC!$A:$AB,11,0))</f>
        <v/>
      </c>
      <c r="H23" s="1" t="str">
        <f t="shared" si="3"/>
        <v/>
      </c>
      <c r="I23" s="1" t="str">
        <f t="shared" si="4"/>
        <v/>
      </c>
      <c r="J23" s="1" t="str">
        <f t="shared" si="5"/>
        <v/>
      </c>
      <c r="K23" s="1" t="str">
        <f>IF($C23="","",VLOOKUP($C23,捏造NPC!$A:$AB,12,0))</f>
        <v/>
      </c>
      <c r="L23" s="1" t="str">
        <f>IF($C23="","",VLOOKUP($C23,捏造NPC!$A:$AB,13,0))</f>
        <v/>
      </c>
      <c r="M23" s="1" t="str">
        <f>IF($C23="","",VLOOKUP($C23,捏造NPC!$A:$AB,14,0))</f>
        <v/>
      </c>
      <c r="N23" s="2" t="str">
        <f>IF($C23="","",(90-VLOOKUP($C23,捏造NPC!$A:$AB,15,0))*3.1415926/180)</f>
        <v/>
      </c>
      <c r="O23" s="1" t="str">
        <f t="shared" si="6"/>
        <v/>
      </c>
      <c r="P23" s="1" t="str">
        <f t="shared" si="7"/>
        <v/>
      </c>
      <c r="Q23" s="1" t="str">
        <f t="shared" si="8"/>
        <v/>
      </c>
      <c r="R23" s="1" t="str">
        <f t="shared" si="9"/>
        <v/>
      </c>
      <c r="S23" s="1" t="str">
        <f t="shared" si="10"/>
        <v/>
      </c>
      <c r="T23" s="1" t="str">
        <f t="shared" si="11"/>
        <v/>
      </c>
      <c r="U23" s="1" t="str">
        <f t="shared" si="12"/>
        <v/>
      </c>
      <c r="V23" s="1" t="str">
        <f t="shared" si="13"/>
        <v/>
      </c>
      <c r="W23" s="1" t="str">
        <f t="shared" si="14"/>
        <v/>
      </c>
      <c r="X23" s="1" t="str">
        <f t="shared" si="15"/>
        <v/>
      </c>
    </row>
    <row r="24" spans="1:24">
      <c r="A24" t="str">
        <f>IF($D24="","",捏造NPC!$H$2+ROW()-5)</f>
        <v/>
      </c>
      <c r="B24" s="1" t="str">
        <f>IF($C24="","",VLOOKUP($C24,捏造NPC!$A:$AB,5,0))</f>
        <v/>
      </c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>IF($C24="","",VLOOKUP($C24,捏造NPC!$A:$AB,11,0))</f>
        <v/>
      </c>
      <c r="H24" s="1" t="str">
        <f t="shared" si="3"/>
        <v/>
      </c>
      <c r="I24" s="1" t="str">
        <f t="shared" si="4"/>
        <v/>
      </c>
      <c r="J24" s="1" t="str">
        <f t="shared" si="5"/>
        <v/>
      </c>
      <c r="K24" s="1" t="str">
        <f>IF($C24="","",VLOOKUP($C24,捏造NPC!$A:$AB,12,0))</f>
        <v/>
      </c>
      <c r="L24" s="1" t="str">
        <f>IF($C24="","",VLOOKUP($C24,捏造NPC!$A:$AB,13,0))</f>
        <v/>
      </c>
      <c r="M24" s="1" t="str">
        <f>IF($C24="","",VLOOKUP($C24,捏造NPC!$A:$AB,14,0))</f>
        <v/>
      </c>
      <c r="N24" s="2" t="str">
        <f>IF($C24="","",(90-VLOOKUP($C24,捏造NPC!$A:$AB,15,0))*3.1415926/180)</f>
        <v/>
      </c>
      <c r="O24" s="1" t="str">
        <f t="shared" si="6"/>
        <v/>
      </c>
      <c r="P24" s="1" t="str">
        <f t="shared" si="7"/>
        <v/>
      </c>
      <c r="Q24" s="1" t="str">
        <f t="shared" si="8"/>
        <v/>
      </c>
      <c r="R24" s="1" t="str">
        <f t="shared" si="9"/>
        <v/>
      </c>
      <c r="S24" s="1" t="str">
        <f t="shared" si="10"/>
        <v/>
      </c>
      <c r="T24" s="1" t="str">
        <f t="shared" si="11"/>
        <v/>
      </c>
      <c r="U24" s="1" t="str">
        <f t="shared" si="12"/>
        <v/>
      </c>
      <c r="V24" s="1" t="str">
        <f t="shared" si="13"/>
        <v/>
      </c>
      <c r="W24" s="1" t="str">
        <f t="shared" si="14"/>
        <v/>
      </c>
      <c r="X24" s="1" t="str">
        <f t="shared" si="15"/>
        <v/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Z24"/>
  <sheetViews>
    <sheetView workbookViewId="0">
      <selection activeCell="G6" sqref="G6"/>
    </sheetView>
  </sheetViews>
  <sheetFormatPr defaultColWidth="9" defaultRowHeight="13.5"/>
  <cols>
    <col min="2" max="2" width="12" customWidth="1"/>
    <col min="5" max="5" width="13.25" customWidth="1"/>
  </cols>
  <sheetData>
    <row r="1" spans="1:52">
      <c r="A1" s="1" t="s">
        <v>123</v>
      </c>
      <c r="B1" s="1" t="s">
        <v>124</v>
      </c>
      <c r="C1" s="1" t="s">
        <v>229</v>
      </c>
      <c r="D1" s="1" t="s">
        <v>230</v>
      </c>
      <c r="E1" s="1" t="s">
        <v>231</v>
      </c>
      <c r="F1" s="1" t="s">
        <v>232</v>
      </c>
      <c r="G1" s="1" t="s">
        <v>233</v>
      </c>
      <c r="H1" s="1" t="s">
        <v>234</v>
      </c>
      <c r="I1" s="1" t="s">
        <v>235</v>
      </c>
      <c r="J1" s="1" t="s">
        <v>236</v>
      </c>
      <c r="K1" s="1" t="s">
        <v>237</v>
      </c>
      <c r="L1" s="1" t="s">
        <v>238</v>
      </c>
      <c r="M1" s="1" t="s">
        <v>239</v>
      </c>
      <c r="N1" s="1" t="s">
        <v>240</v>
      </c>
      <c r="O1" s="1" t="s">
        <v>241</v>
      </c>
      <c r="P1" s="1" t="s">
        <v>242</v>
      </c>
      <c r="Q1" s="1" t="s">
        <v>243</v>
      </c>
      <c r="R1" s="1" t="s">
        <v>244</v>
      </c>
      <c r="S1" s="1" t="s">
        <v>245</v>
      </c>
      <c r="T1" s="1" t="s">
        <v>246</v>
      </c>
      <c r="U1" s="1" t="s">
        <v>247</v>
      </c>
      <c r="V1" s="1" t="s">
        <v>248</v>
      </c>
      <c r="W1" s="1" t="s">
        <v>249</v>
      </c>
      <c r="X1" s="1" t="s">
        <v>250</v>
      </c>
      <c r="Y1" s="1" t="s">
        <v>251</v>
      </c>
      <c r="Z1" s="1" t="s">
        <v>252</v>
      </c>
      <c r="AA1" s="1" t="s">
        <v>253</v>
      </c>
      <c r="AB1" s="1" t="s">
        <v>254</v>
      </c>
      <c r="AC1" s="1" t="s">
        <v>255</v>
      </c>
      <c r="AD1" s="1" t="s">
        <v>256</v>
      </c>
      <c r="AE1" s="1" t="s">
        <v>257</v>
      </c>
      <c r="AF1" s="1" t="s">
        <v>258</v>
      </c>
      <c r="AG1" s="1" t="s">
        <v>259</v>
      </c>
      <c r="AH1" s="1" t="s">
        <v>260</v>
      </c>
      <c r="AI1" s="1" t="s">
        <v>261</v>
      </c>
      <c r="AJ1" s="1" t="s">
        <v>262</v>
      </c>
      <c r="AK1" s="1" t="s">
        <v>263</v>
      </c>
      <c r="AL1" s="1" t="s">
        <v>264</v>
      </c>
      <c r="AM1" s="1" t="s">
        <v>265</v>
      </c>
      <c r="AN1" s="1" t="s">
        <v>266</v>
      </c>
      <c r="AO1" s="1" t="s">
        <v>267</v>
      </c>
      <c r="AP1" s="1" t="s">
        <v>268</v>
      </c>
      <c r="AQ1" s="1" t="s">
        <v>269</v>
      </c>
      <c r="AR1" s="1" t="s">
        <v>270</v>
      </c>
      <c r="AS1" s="1" t="s">
        <v>271</v>
      </c>
      <c r="AT1" s="1" t="s">
        <v>272</v>
      </c>
      <c r="AU1" s="1" t="s">
        <v>273</v>
      </c>
      <c r="AV1" s="1" t="s">
        <v>274</v>
      </c>
      <c r="AW1" s="1" t="s">
        <v>275</v>
      </c>
      <c r="AX1" s="1" t="s">
        <v>276</v>
      </c>
      <c r="AY1" s="1" t="s">
        <v>277</v>
      </c>
      <c r="AZ1" s="1"/>
    </row>
    <row r="2" spans="1:52">
      <c r="A2" s="1" t="s">
        <v>153</v>
      </c>
      <c r="B2" s="1" t="s">
        <v>154</v>
      </c>
      <c r="C2" s="1" t="s">
        <v>153</v>
      </c>
      <c r="D2" s="1" t="s">
        <v>153</v>
      </c>
      <c r="E2" s="1" t="s">
        <v>153</v>
      </c>
      <c r="F2" s="1" t="s">
        <v>153</v>
      </c>
      <c r="G2" s="1" t="s">
        <v>153</v>
      </c>
      <c r="H2" s="1" t="s">
        <v>153</v>
      </c>
      <c r="I2" s="1" t="s">
        <v>153</v>
      </c>
      <c r="J2" s="1" t="s">
        <v>153</v>
      </c>
      <c r="K2" s="1" t="s">
        <v>153</v>
      </c>
      <c r="L2" s="1" t="s">
        <v>153</v>
      </c>
      <c r="M2" s="1" t="s">
        <v>153</v>
      </c>
      <c r="N2" s="1" t="s">
        <v>153</v>
      </c>
      <c r="O2" s="1" t="s">
        <v>153</v>
      </c>
      <c r="P2" s="1" t="s">
        <v>153</v>
      </c>
      <c r="Q2" s="1" t="s">
        <v>153</v>
      </c>
      <c r="R2" s="1" t="s">
        <v>153</v>
      </c>
      <c r="S2" s="1" t="s">
        <v>153</v>
      </c>
      <c r="T2" s="1" t="s">
        <v>153</v>
      </c>
      <c r="U2" s="1" t="s">
        <v>153</v>
      </c>
      <c r="V2" s="1" t="s">
        <v>153</v>
      </c>
      <c r="W2" s="1" t="s">
        <v>153</v>
      </c>
      <c r="X2" s="1" t="s">
        <v>153</v>
      </c>
      <c r="Y2" s="1" t="s">
        <v>153</v>
      </c>
      <c r="Z2" s="1" t="s">
        <v>153</v>
      </c>
      <c r="AA2" s="1" t="s">
        <v>153</v>
      </c>
      <c r="AB2" s="1" t="s">
        <v>153</v>
      </c>
      <c r="AC2" s="1" t="s">
        <v>153</v>
      </c>
      <c r="AD2" s="1" t="s">
        <v>153</v>
      </c>
      <c r="AE2" s="1" t="s">
        <v>153</v>
      </c>
      <c r="AF2" s="1" t="s">
        <v>153</v>
      </c>
      <c r="AG2" s="1" t="s">
        <v>153</v>
      </c>
      <c r="AH2" s="1" t="s">
        <v>153</v>
      </c>
      <c r="AI2" s="1" t="s">
        <v>153</v>
      </c>
      <c r="AJ2" s="1" t="s">
        <v>153</v>
      </c>
      <c r="AK2" s="1" t="s">
        <v>153</v>
      </c>
      <c r="AL2" s="1" t="s">
        <v>154</v>
      </c>
      <c r="AM2" s="1" t="s">
        <v>154</v>
      </c>
      <c r="AN2" s="1" t="s">
        <v>153</v>
      </c>
      <c r="AO2" s="1" t="s">
        <v>153</v>
      </c>
      <c r="AP2" s="1" t="s">
        <v>153</v>
      </c>
      <c r="AQ2" s="1" t="s">
        <v>153</v>
      </c>
      <c r="AR2" s="1" t="s">
        <v>153</v>
      </c>
      <c r="AS2" s="1" t="s">
        <v>153</v>
      </c>
      <c r="AT2" s="1" t="s">
        <v>153</v>
      </c>
      <c r="AU2" s="1" t="s">
        <v>153</v>
      </c>
      <c r="AV2" s="1" t="s">
        <v>153</v>
      </c>
      <c r="AW2" s="1" t="s">
        <v>153</v>
      </c>
      <c r="AX2" s="1" t="s">
        <v>153</v>
      </c>
      <c r="AY2" s="1" t="s">
        <v>153</v>
      </c>
      <c r="AZ2" s="1"/>
    </row>
    <row r="3" spans="1:52">
      <c r="A3" s="1" t="s">
        <v>278</v>
      </c>
      <c r="B3" s="1"/>
      <c r="C3" s="1"/>
      <c r="D3" s="1"/>
      <c r="E3" s="1"/>
      <c r="F3" s="1"/>
      <c r="G3" s="1"/>
      <c r="H3" s="1"/>
      <c r="I3" s="1"/>
      <c r="J3" s="1"/>
      <c r="K3" s="1" t="s">
        <v>279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 t="s">
        <v>279</v>
      </c>
      <c r="AJ3" s="1"/>
      <c r="AK3" s="1"/>
      <c r="AL3" s="1"/>
      <c r="AM3" s="1"/>
      <c r="AN3" s="1" t="s">
        <v>279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>
      <c r="A4" s="1" t="s">
        <v>280</v>
      </c>
      <c r="B4" s="1" t="s">
        <v>281</v>
      </c>
      <c r="C4" s="1" t="s">
        <v>282</v>
      </c>
      <c r="D4" s="1" t="s">
        <v>283</v>
      </c>
      <c r="E4" s="1" t="s">
        <v>284</v>
      </c>
      <c r="F4" s="1" t="s">
        <v>285</v>
      </c>
      <c r="G4" s="1" t="s">
        <v>286</v>
      </c>
      <c r="H4" s="1" t="s">
        <v>287</v>
      </c>
      <c r="I4" s="1" t="s">
        <v>288</v>
      </c>
      <c r="J4" s="1" t="s">
        <v>289</v>
      </c>
      <c r="K4" s="1" t="s">
        <v>290</v>
      </c>
      <c r="L4" s="1" t="s">
        <v>291</v>
      </c>
      <c r="M4" s="1" t="s">
        <v>292</v>
      </c>
      <c r="N4" s="1" t="s">
        <v>293</v>
      </c>
      <c r="O4" s="1" t="s">
        <v>294</v>
      </c>
      <c r="P4" s="1" t="s">
        <v>295</v>
      </c>
      <c r="Q4" s="1" t="s">
        <v>296</v>
      </c>
      <c r="R4" s="1" t="s">
        <v>297</v>
      </c>
      <c r="S4" s="1" t="s">
        <v>298</v>
      </c>
      <c r="T4" s="1" t="s">
        <v>299</v>
      </c>
      <c r="U4" s="1" t="s">
        <v>300</v>
      </c>
      <c r="V4" s="1" t="s">
        <v>301</v>
      </c>
      <c r="W4" s="1" t="s">
        <v>302</v>
      </c>
      <c r="X4" s="1" t="s">
        <v>303</v>
      </c>
      <c r="Y4" s="1" t="s">
        <v>304</v>
      </c>
      <c r="Z4" s="1" t="s">
        <v>305</v>
      </c>
      <c r="AA4" s="1" t="s">
        <v>306</v>
      </c>
      <c r="AB4" s="1" t="s">
        <v>307</v>
      </c>
      <c r="AC4" s="1" t="s">
        <v>308</v>
      </c>
      <c r="AD4" s="1" t="s">
        <v>309</v>
      </c>
      <c r="AE4" s="1" t="s">
        <v>310</v>
      </c>
      <c r="AF4" s="1" t="s">
        <v>311</v>
      </c>
      <c r="AG4" s="1" t="s">
        <v>312</v>
      </c>
      <c r="AH4" s="1" t="s">
        <v>313</v>
      </c>
      <c r="AI4" s="1" t="s">
        <v>314</v>
      </c>
      <c r="AJ4" s="1" t="s">
        <v>15</v>
      </c>
      <c r="AK4" s="1" t="s">
        <v>315</v>
      </c>
      <c r="AL4" s="1" t="s">
        <v>316</v>
      </c>
      <c r="AM4" s="1" t="s">
        <v>317</v>
      </c>
      <c r="AN4" s="1" t="s">
        <v>318</v>
      </c>
      <c r="AO4" s="1" t="s">
        <v>20</v>
      </c>
      <c r="AP4" s="1" t="s">
        <v>19</v>
      </c>
      <c r="AQ4" s="1" t="s">
        <v>319</v>
      </c>
      <c r="AR4" s="1" t="s">
        <v>320</v>
      </c>
      <c r="AS4" s="1" t="s">
        <v>321</v>
      </c>
      <c r="AT4" s="1" t="s">
        <v>322</v>
      </c>
      <c r="AU4" s="1" t="s">
        <v>323</v>
      </c>
      <c r="AV4" s="1" t="s">
        <v>324</v>
      </c>
      <c r="AW4" s="1" t="s">
        <v>325</v>
      </c>
      <c r="AX4" s="1" t="s">
        <v>326</v>
      </c>
      <c r="AY4" s="1" t="s">
        <v>327</v>
      </c>
      <c r="AZ4" s="1"/>
    </row>
    <row r="5" spans="1:51">
      <c r="A5">
        <f>发布任务!A5</f>
        <v>8124</v>
      </c>
      <c r="B5" t="str">
        <f>IF(发布任务!B5="","",发布任务!B5)</f>
        <v>资13-军衔任务</v>
      </c>
      <c r="C5">
        <f>A5</f>
        <v>8124</v>
      </c>
      <c r="D5">
        <f>A5</f>
        <v>8124</v>
      </c>
      <c r="E5">
        <f>IF(发布任务!J5=0,"",发布任务!J5)</f>
        <v>2</v>
      </c>
      <c r="F5">
        <f>IF($A5="","",-1)</f>
        <v>-1</v>
      </c>
      <c r="G5">
        <f>IF(发布任务!L5=0,"",发布任务!L5)</f>
        <v>13</v>
      </c>
      <c r="H5">
        <f>IF(G5=13,1,A5)</f>
        <v>1</v>
      </c>
      <c r="I5">
        <f>IF($A5="","",-1)</f>
        <v>-1</v>
      </c>
      <c r="J5">
        <f>IF($A5="","",-1)</f>
        <v>-1</v>
      </c>
      <c r="K5">
        <f>IF($A5="","",-1)</f>
        <v>-1</v>
      </c>
      <c r="L5">
        <f>IF(发布任务!R5=0,"",发布任务!R5)</f>
        <v>8125</v>
      </c>
      <c r="M5">
        <f>IF($A5="","",-1)</f>
        <v>-1</v>
      </c>
      <c r="N5">
        <f>IF($A5="","",-1)</f>
        <v>-1</v>
      </c>
      <c r="O5">
        <f>IF($A5="","",-1)</f>
        <v>-1</v>
      </c>
      <c r="P5">
        <f t="shared" ref="P5:AF5" si="0">IF($A5="","",-1)</f>
        <v>-1</v>
      </c>
      <c r="Q5">
        <f t="shared" si="0"/>
        <v>-1</v>
      </c>
      <c r="R5">
        <f t="shared" si="0"/>
        <v>-1</v>
      </c>
      <c r="S5">
        <f t="shared" si="0"/>
        <v>-1</v>
      </c>
      <c r="T5">
        <f t="shared" si="0"/>
        <v>-1</v>
      </c>
      <c r="U5">
        <f t="shared" si="0"/>
        <v>-1</v>
      </c>
      <c r="V5">
        <f t="shared" si="0"/>
        <v>-1</v>
      </c>
      <c r="W5">
        <f t="shared" si="0"/>
        <v>-1</v>
      </c>
      <c r="X5">
        <f t="shared" si="0"/>
        <v>-1</v>
      </c>
      <c r="Y5">
        <f t="shared" si="0"/>
        <v>-1</v>
      </c>
      <c r="Z5">
        <f t="shared" si="0"/>
        <v>-1</v>
      </c>
      <c r="AA5">
        <f t="shared" si="0"/>
        <v>-1</v>
      </c>
      <c r="AB5">
        <f t="shared" si="0"/>
        <v>-1</v>
      </c>
      <c r="AC5">
        <f t="shared" si="0"/>
        <v>-1</v>
      </c>
      <c r="AD5">
        <f>IF($A5="","",-1)</f>
        <v>-1</v>
      </c>
      <c r="AE5">
        <f>IF($A5="","",-1)</f>
        <v>-1</v>
      </c>
      <c r="AF5">
        <f>IF($A5="","",-1)</f>
        <v>-1</v>
      </c>
      <c r="AG5" s="1">
        <f>发布任务!N5</f>
        <v>1</v>
      </c>
      <c r="AH5" s="1">
        <f>IF($A5="","",0)</f>
        <v>0</v>
      </c>
      <c r="AI5" s="1">
        <f>IF($A5="","",0)</f>
        <v>0</v>
      </c>
      <c r="AJ5" s="1">
        <f>发布任务!P5</f>
        <v>1</v>
      </c>
      <c r="AK5" s="1">
        <f>IF(AJ5=1,3,"")</f>
        <v>3</v>
      </c>
      <c r="AN5" s="1">
        <f>IF($A5="","",0)</f>
        <v>0</v>
      </c>
      <c r="AO5" s="1">
        <f>发布任务!W5</f>
        <v>0</v>
      </c>
      <c r="AP5" s="1">
        <f>发布任务!U5</f>
        <v>1</v>
      </c>
      <c r="AQ5" s="1">
        <f>IF($A5="","",-1)</f>
        <v>-1</v>
      </c>
      <c r="AR5" s="1">
        <f>IF($A5="","",0)</f>
        <v>0</v>
      </c>
      <c r="AS5" s="1">
        <f>IF($A5="","",-1)</f>
        <v>-1</v>
      </c>
      <c r="AT5" s="1">
        <f t="shared" ref="AT5:AY5" si="1">IF($A5="","",-1)</f>
        <v>-1</v>
      </c>
      <c r="AU5" s="1">
        <f t="shared" si="1"/>
        <v>-1</v>
      </c>
      <c r="AV5" s="1">
        <f t="shared" si="1"/>
        <v>-1</v>
      </c>
      <c r="AW5" s="1">
        <f t="shared" si="1"/>
        <v>-1</v>
      </c>
      <c r="AX5" s="1">
        <f t="shared" si="1"/>
        <v>-1</v>
      </c>
      <c r="AY5" s="1">
        <f t="shared" si="1"/>
        <v>-1</v>
      </c>
    </row>
    <row r="6" spans="1:51">
      <c r="A6">
        <f>发布任务!A6</f>
        <v>8125</v>
      </c>
      <c r="B6" t="str">
        <f>IF(发布任务!B6="","",发布任务!B6)</f>
        <v>资14-军衔任务</v>
      </c>
      <c r="C6">
        <f>A6</f>
        <v>8125</v>
      </c>
      <c r="D6">
        <f>A6</f>
        <v>8125</v>
      </c>
      <c r="E6">
        <f>IF(发布任务!J6=0,"",发布任务!J6)</f>
        <v>2</v>
      </c>
      <c r="F6">
        <f>IF($A6="","",-1)</f>
        <v>-1</v>
      </c>
      <c r="G6">
        <f>IF(发布任务!L6=0,"",发布任务!L6)</f>
        <v>2</v>
      </c>
      <c r="H6">
        <f t="shared" ref="H6:H24" si="2">IF(G6=13,1,A6)</f>
        <v>8125</v>
      </c>
      <c r="I6">
        <f>IF($A6="","",-1)</f>
        <v>-1</v>
      </c>
      <c r="J6">
        <f>IF($A6="","",-1)</f>
        <v>-1</v>
      </c>
      <c r="K6">
        <f>IF($A6="","",-1)</f>
        <v>-1</v>
      </c>
      <c r="L6">
        <f>IF(发布任务!R6=0,"",发布任务!R6)</f>
        <v>8126</v>
      </c>
      <c r="M6">
        <f>IF($A6="","",-1)</f>
        <v>-1</v>
      </c>
      <c r="N6">
        <f>IF($A6="","",-1)</f>
        <v>-1</v>
      </c>
      <c r="O6">
        <f>IF($A6="","",-1)</f>
        <v>-1</v>
      </c>
      <c r="P6">
        <f t="shared" ref="P6:AF6" si="3">IF($A6="","",-1)</f>
        <v>-1</v>
      </c>
      <c r="Q6">
        <f t="shared" si="3"/>
        <v>-1</v>
      </c>
      <c r="R6">
        <f t="shared" si="3"/>
        <v>-1</v>
      </c>
      <c r="S6">
        <f t="shared" si="3"/>
        <v>-1</v>
      </c>
      <c r="T6">
        <f t="shared" si="3"/>
        <v>-1</v>
      </c>
      <c r="U6">
        <f t="shared" si="3"/>
        <v>-1</v>
      </c>
      <c r="V6">
        <f t="shared" si="3"/>
        <v>-1</v>
      </c>
      <c r="W6">
        <f t="shared" si="3"/>
        <v>-1</v>
      </c>
      <c r="X6">
        <f t="shared" si="3"/>
        <v>-1</v>
      </c>
      <c r="Y6">
        <f t="shared" si="3"/>
        <v>-1</v>
      </c>
      <c r="Z6">
        <f t="shared" si="3"/>
        <v>-1</v>
      </c>
      <c r="AA6">
        <f t="shared" si="3"/>
        <v>-1</v>
      </c>
      <c r="AB6">
        <f t="shared" si="3"/>
        <v>-1</v>
      </c>
      <c r="AC6">
        <f t="shared" si="3"/>
        <v>-1</v>
      </c>
      <c r="AD6">
        <f t="shared" si="3"/>
        <v>-1</v>
      </c>
      <c r="AE6">
        <f t="shared" si="3"/>
        <v>-1</v>
      </c>
      <c r="AF6">
        <f t="shared" si="3"/>
        <v>-1</v>
      </c>
      <c r="AG6" s="1">
        <f>发布任务!N6</f>
        <v>1</v>
      </c>
      <c r="AH6" s="1">
        <f t="shared" ref="AH6:AH24" si="4">IF($A6="","",0)</f>
        <v>0</v>
      </c>
      <c r="AI6" s="1">
        <f t="shared" ref="AI6:AI24" si="5">IF($A6="","",0)</f>
        <v>0</v>
      </c>
      <c r="AJ6" s="1">
        <f>发布任务!P6</f>
        <v>1</v>
      </c>
      <c r="AK6" s="1">
        <f>IF(AJ6=1,3,"")</f>
        <v>3</v>
      </c>
      <c r="AN6" s="1">
        <f t="shared" ref="AN6:AN24" si="6">IF($A6="","",0)</f>
        <v>0</v>
      </c>
      <c r="AO6" s="1">
        <f>发布任务!W6</f>
        <v>0</v>
      </c>
      <c r="AP6" s="1">
        <f>发布任务!U6</f>
        <v>1</v>
      </c>
      <c r="AQ6" s="1">
        <f t="shared" ref="AQ6:AQ24" si="7">IF($A6="","",-1)</f>
        <v>-1</v>
      </c>
      <c r="AR6" s="1">
        <f t="shared" ref="AR6:AR24" si="8">IF($A6="","",0)</f>
        <v>0</v>
      </c>
      <c r="AS6" s="1">
        <f t="shared" ref="AS6:AS24" si="9">IF($A6="","",-1)</f>
        <v>-1</v>
      </c>
      <c r="AT6" s="1">
        <f t="shared" ref="AT6:AY6" si="10">IF($A6="","",-1)</f>
        <v>-1</v>
      </c>
      <c r="AU6" s="1">
        <f t="shared" si="10"/>
        <v>-1</v>
      </c>
      <c r="AV6" s="1">
        <f t="shared" si="10"/>
        <v>-1</v>
      </c>
      <c r="AW6" s="1">
        <f t="shared" si="10"/>
        <v>-1</v>
      </c>
      <c r="AX6" s="1">
        <f t="shared" si="10"/>
        <v>-1</v>
      </c>
      <c r="AY6" s="1">
        <f t="shared" si="10"/>
        <v>-1</v>
      </c>
    </row>
    <row r="7" spans="1:51">
      <c r="A7">
        <f>发布任务!A7</f>
        <v>8126</v>
      </c>
      <c r="B7" t="str">
        <f>IF(发布任务!B7="","",发布任务!B7)</f>
        <v>资15-军衔任务</v>
      </c>
      <c r="C7">
        <f t="shared" ref="C7:C24" si="11">A7</f>
        <v>8126</v>
      </c>
      <c r="D7">
        <f t="shared" ref="D7:D24" si="12">A7</f>
        <v>8126</v>
      </c>
      <c r="E7">
        <f>IF(发布任务!J7=0,"",发布任务!J7)</f>
        <v>2</v>
      </c>
      <c r="F7">
        <f t="shared" ref="F6:F24" si="13">IF(A7="","",-1)</f>
        <v>-1</v>
      </c>
      <c r="G7">
        <f>IF(发布任务!L7=0,"",发布任务!L7)</f>
        <v>4</v>
      </c>
      <c r="H7">
        <f t="shared" si="2"/>
        <v>8126</v>
      </c>
      <c r="I7">
        <f t="shared" ref="I6:I24" si="14">IF(A7="","",-1)</f>
        <v>-1</v>
      </c>
      <c r="J7">
        <f t="shared" ref="J6:J24" si="15">IF(A7="","",-1)</f>
        <v>-1</v>
      </c>
      <c r="K7">
        <f t="shared" ref="K6:K24" si="16">IF(A7="","",-1)</f>
        <v>-1</v>
      </c>
      <c r="L7">
        <f>IF(发布任务!R7=0,"",发布任务!R7)</f>
        <v>-1</v>
      </c>
      <c r="M7">
        <f t="shared" ref="M6:M24" si="17">IF(C7="","",-1)</f>
        <v>-1</v>
      </c>
      <c r="N7">
        <f t="shared" ref="N6:N24" si="18">IF(D7="","",-1)</f>
        <v>-1</v>
      </c>
      <c r="O7">
        <f t="shared" ref="O7:O24" si="19">IF($A7="","",-1)</f>
        <v>-1</v>
      </c>
      <c r="P7">
        <f t="shared" ref="P7:P24" si="20">IF($A7="","",-1)</f>
        <v>-1</v>
      </c>
      <c r="Q7">
        <f t="shared" ref="Q7:Q24" si="21">IF($A7="","",-1)</f>
        <v>-1</v>
      </c>
      <c r="R7">
        <f t="shared" ref="R7:R24" si="22">IF($A7="","",-1)</f>
        <v>-1</v>
      </c>
      <c r="S7">
        <f t="shared" ref="S7:S24" si="23">IF($A7="","",-1)</f>
        <v>-1</v>
      </c>
      <c r="T7">
        <f t="shared" ref="T7:T24" si="24">IF($A7="","",-1)</f>
        <v>-1</v>
      </c>
      <c r="U7">
        <f t="shared" ref="U7:U24" si="25">IF($A7="","",-1)</f>
        <v>-1</v>
      </c>
      <c r="V7">
        <f t="shared" ref="V7:V24" si="26">IF($A7="","",-1)</f>
        <v>-1</v>
      </c>
      <c r="W7">
        <f t="shared" ref="W7:W24" si="27">IF($A7="","",-1)</f>
        <v>-1</v>
      </c>
      <c r="X7">
        <f t="shared" ref="X7:X24" si="28">IF($A7="","",-1)</f>
        <v>-1</v>
      </c>
      <c r="Y7">
        <f t="shared" ref="Y7:Y24" si="29">IF($A7="","",-1)</f>
        <v>-1</v>
      </c>
      <c r="Z7">
        <f t="shared" ref="Z7:Z24" si="30">IF($A7="","",-1)</f>
        <v>-1</v>
      </c>
      <c r="AA7">
        <f t="shared" ref="AA7:AA24" si="31">IF($A7="","",-1)</f>
        <v>-1</v>
      </c>
      <c r="AB7">
        <f t="shared" ref="AB7:AB24" si="32">IF($A7="","",-1)</f>
        <v>-1</v>
      </c>
      <c r="AC7">
        <f t="shared" ref="AC7:AC24" si="33">IF($A7="","",-1)</f>
        <v>-1</v>
      </c>
      <c r="AD7">
        <f t="shared" ref="AD7:AD24" si="34">IF($A7="","",-1)</f>
        <v>-1</v>
      </c>
      <c r="AE7">
        <f t="shared" ref="AE7:AE24" si="35">IF($A7="","",-1)</f>
        <v>-1</v>
      </c>
      <c r="AF7">
        <f t="shared" ref="AF7:AF24" si="36">IF($A7="","",-1)</f>
        <v>-1</v>
      </c>
      <c r="AG7" s="1">
        <f>发布任务!N7</f>
        <v>1</v>
      </c>
      <c r="AH7" s="1">
        <f t="shared" si="4"/>
        <v>0</v>
      </c>
      <c r="AI7" s="1">
        <f t="shared" si="5"/>
        <v>0</v>
      </c>
      <c r="AJ7" s="1">
        <f>发布任务!P7</f>
        <v>1</v>
      </c>
      <c r="AK7" s="1">
        <f t="shared" ref="AK7:AK24" si="37">IF(AJ7=1,3,"")</f>
        <v>3</v>
      </c>
      <c r="AN7" s="1">
        <f t="shared" si="6"/>
        <v>0</v>
      </c>
      <c r="AO7" s="1">
        <f>发布任务!W7</f>
        <v>0</v>
      </c>
      <c r="AP7" s="1">
        <f>发布任务!U7</f>
        <v>0</v>
      </c>
      <c r="AQ7" s="1">
        <f t="shared" si="7"/>
        <v>-1</v>
      </c>
      <c r="AR7" s="1">
        <f t="shared" si="8"/>
        <v>0</v>
      </c>
      <c r="AS7" s="1">
        <f t="shared" si="9"/>
        <v>-1</v>
      </c>
      <c r="AT7" s="1">
        <f t="shared" ref="AT7:AY7" si="38">IF($A7="","",-1)</f>
        <v>-1</v>
      </c>
      <c r="AU7" s="1">
        <f t="shared" si="38"/>
        <v>-1</v>
      </c>
      <c r="AV7" s="1">
        <f t="shared" si="38"/>
        <v>-1</v>
      </c>
      <c r="AW7" s="1">
        <f t="shared" si="38"/>
        <v>-1</v>
      </c>
      <c r="AX7" s="1">
        <f t="shared" si="38"/>
        <v>-1</v>
      </c>
      <c r="AY7" s="1">
        <f t="shared" si="38"/>
        <v>-1</v>
      </c>
    </row>
    <row r="8" spans="1:51">
      <c r="A8" t="str">
        <f>发布任务!A8</f>
        <v/>
      </c>
      <c r="B8" t="str">
        <f>IF(发布任务!B8="","",发布任务!B8)</f>
        <v/>
      </c>
      <c r="C8" t="str">
        <f t="shared" si="11"/>
        <v/>
      </c>
      <c r="D8" t="str">
        <f t="shared" si="12"/>
        <v/>
      </c>
      <c r="E8" t="str">
        <f>IF(发布任务!J8=0,"",发布任务!J8)</f>
        <v/>
      </c>
      <c r="F8" t="str">
        <f t="shared" si="13"/>
        <v/>
      </c>
      <c r="G8" t="str">
        <f>IF(发布任务!L8=0,"",发布任务!L8)</f>
        <v/>
      </c>
      <c r="H8" t="str">
        <f t="shared" si="2"/>
        <v/>
      </c>
      <c r="I8" t="str">
        <f t="shared" si="14"/>
        <v/>
      </c>
      <c r="J8" t="str">
        <f t="shared" si="15"/>
        <v/>
      </c>
      <c r="K8" t="str">
        <f t="shared" si="16"/>
        <v/>
      </c>
      <c r="L8" t="str">
        <f>IF(发布任务!R8=0,"",发布任务!R8)</f>
        <v/>
      </c>
      <c r="M8" t="str">
        <f t="shared" si="17"/>
        <v/>
      </c>
      <c r="N8" t="str">
        <f t="shared" si="18"/>
        <v/>
      </c>
      <c r="O8" t="str">
        <f t="shared" si="19"/>
        <v/>
      </c>
      <c r="P8" t="str">
        <f t="shared" si="20"/>
        <v/>
      </c>
      <c r="Q8" t="str">
        <f t="shared" si="21"/>
        <v/>
      </c>
      <c r="R8" t="str">
        <f t="shared" si="22"/>
        <v/>
      </c>
      <c r="S8" t="str">
        <f t="shared" si="23"/>
        <v/>
      </c>
      <c r="T8" t="str">
        <f t="shared" si="24"/>
        <v/>
      </c>
      <c r="U8" t="str">
        <f t="shared" si="25"/>
        <v/>
      </c>
      <c r="V8" t="str">
        <f t="shared" si="26"/>
        <v/>
      </c>
      <c r="W8" t="str">
        <f t="shared" si="27"/>
        <v/>
      </c>
      <c r="X8" t="str">
        <f t="shared" si="28"/>
        <v/>
      </c>
      <c r="Y8" t="str">
        <f t="shared" si="29"/>
        <v/>
      </c>
      <c r="Z8" t="str">
        <f t="shared" si="30"/>
        <v/>
      </c>
      <c r="AA8" t="str">
        <f t="shared" si="31"/>
        <v/>
      </c>
      <c r="AB8" t="str">
        <f t="shared" si="32"/>
        <v/>
      </c>
      <c r="AC8" t="str">
        <f t="shared" si="33"/>
        <v/>
      </c>
      <c r="AD8" t="str">
        <f t="shared" si="34"/>
        <v/>
      </c>
      <c r="AE8" t="str">
        <f t="shared" si="35"/>
        <v/>
      </c>
      <c r="AF8" t="str">
        <f t="shared" si="36"/>
        <v/>
      </c>
      <c r="AG8" s="1" t="str">
        <f>发布任务!N8</f>
        <v/>
      </c>
      <c r="AH8" s="1" t="str">
        <f t="shared" si="4"/>
        <v/>
      </c>
      <c r="AI8" s="1" t="str">
        <f t="shared" si="5"/>
        <v/>
      </c>
      <c r="AJ8" s="1" t="str">
        <f>发布任务!P8</f>
        <v/>
      </c>
      <c r="AK8" s="1" t="str">
        <f t="shared" si="37"/>
        <v/>
      </c>
      <c r="AN8" s="1" t="str">
        <f t="shared" si="6"/>
        <v/>
      </c>
      <c r="AO8" s="1" t="str">
        <f>发布任务!W8</f>
        <v/>
      </c>
      <c r="AP8" s="1" t="str">
        <f>发布任务!U8</f>
        <v/>
      </c>
      <c r="AQ8" s="1" t="str">
        <f t="shared" si="7"/>
        <v/>
      </c>
      <c r="AR8" s="1" t="str">
        <f t="shared" si="8"/>
        <v/>
      </c>
      <c r="AS8" s="1" t="str">
        <f t="shared" si="9"/>
        <v/>
      </c>
      <c r="AT8" s="1" t="str">
        <f t="shared" ref="AT8:AY8" si="39">IF($A8="","",-1)</f>
        <v/>
      </c>
      <c r="AU8" s="1" t="str">
        <f t="shared" si="39"/>
        <v/>
      </c>
      <c r="AV8" s="1" t="str">
        <f t="shared" si="39"/>
        <v/>
      </c>
      <c r="AW8" s="1" t="str">
        <f t="shared" si="39"/>
        <v/>
      </c>
      <c r="AX8" s="1" t="str">
        <f t="shared" si="39"/>
        <v/>
      </c>
      <c r="AY8" s="1" t="str">
        <f t="shared" si="39"/>
        <v/>
      </c>
    </row>
    <row r="9" spans="1:51">
      <c r="A9" t="str">
        <f>发布任务!A9</f>
        <v/>
      </c>
      <c r="B9" t="str">
        <f>IF(发布任务!B9="","",发布任务!B9)</f>
        <v/>
      </c>
      <c r="C9" t="str">
        <f t="shared" si="11"/>
        <v/>
      </c>
      <c r="D9" t="str">
        <f t="shared" si="12"/>
        <v/>
      </c>
      <c r="E9" t="str">
        <f>IF(发布任务!J9=0,"",发布任务!J9)</f>
        <v/>
      </c>
      <c r="F9" t="str">
        <f t="shared" si="13"/>
        <v/>
      </c>
      <c r="G9" t="str">
        <f>IF(发布任务!L9=0,"",发布任务!L9)</f>
        <v/>
      </c>
      <c r="H9" t="str">
        <f t="shared" si="2"/>
        <v/>
      </c>
      <c r="I9" t="str">
        <f t="shared" si="14"/>
        <v/>
      </c>
      <c r="J9" t="str">
        <f t="shared" si="15"/>
        <v/>
      </c>
      <c r="K9" t="str">
        <f t="shared" si="16"/>
        <v/>
      </c>
      <c r="L9" t="str">
        <f>IF(发布任务!R9=0,"",发布任务!R9)</f>
        <v/>
      </c>
      <c r="M9" t="str">
        <f t="shared" si="17"/>
        <v/>
      </c>
      <c r="N9" t="str">
        <f t="shared" si="18"/>
        <v/>
      </c>
      <c r="O9" t="str">
        <f t="shared" si="19"/>
        <v/>
      </c>
      <c r="P9" t="str">
        <f t="shared" si="20"/>
        <v/>
      </c>
      <c r="Q9" t="str">
        <f t="shared" si="21"/>
        <v/>
      </c>
      <c r="R9" t="str">
        <f t="shared" si="22"/>
        <v/>
      </c>
      <c r="S9" t="str">
        <f t="shared" si="23"/>
        <v/>
      </c>
      <c r="T9" t="str">
        <f t="shared" si="24"/>
        <v/>
      </c>
      <c r="U9" t="str">
        <f t="shared" si="25"/>
        <v/>
      </c>
      <c r="V9" t="str">
        <f t="shared" si="26"/>
        <v/>
      </c>
      <c r="W9" t="str">
        <f t="shared" si="27"/>
        <v/>
      </c>
      <c r="X9" t="str">
        <f t="shared" si="28"/>
        <v/>
      </c>
      <c r="Y9" t="str">
        <f t="shared" si="29"/>
        <v/>
      </c>
      <c r="Z9" t="str">
        <f t="shared" si="30"/>
        <v/>
      </c>
      <c r="AA9" t="str">
        <f t="shared" si="31"/>
        <v/>
      </c>
      <c r="AB9" t="str">
        <f t="shared" si="32"/>
        <v/>
      </c>
      <c r="AC9" t="str">
        <f t="shared" si="33"/>
        <v/>
      </c>
      <c r="AD9" t="str">
        <f t="shared" si="34"/>
        <v/>
      </c>
      <c r="AE9" t="str">
        <f t="shared" si="35"/>
        <v/>
      </c>
      <c r="AF9" t="str">
        <f t="shared" si="36"/>
        <v/>
      </c>
      <c r="AG9" s="1" t="str">
        <f>发布任务!N9</f>
        <v/>
      </c>
      <c r="AH9" s="1" t="str">
        <f t="shared" si="4"/>
        <v/>
      </c>
      <c r="AI9" s="1" t="str">
        <f t="shared" si="5"/>
        <v/>
      </c>
      <c r="AJ9" s="1" t="str">
        <f>发布任务!P9</f>
        <v/>
      </c>
      <c r="AK9" s="1" t="str">
        <f t="shared" si="37"/>
        <v/>
      </c>
      <c r="AN9" s="1" t="str">
        <f t="shared" si="6"/>
        <v/>
      </c>
      <c r="AO9" s="1" t="str">
        <f>发布任务!W9</f>
        <v/>
      </c>
      <c r="AP9" s="1" t="str">
        <f>发布任务!U9</f>
        <v/>
      </c>
      <c r="AQ9" s="1" t="str">
        <f t="shared" si="7"/>
        <v/>
      </c>
      <c r="AR9" s="1" t="str">
        <f t="shared" si="8"/>
        <v/>
      </c>
      <c r="AS9" s="1" t="str">
        <f t="shared" si="9"/>
        <v/>
      </c>
      <c r="AT9" s="1" t="str">
        <f t="shared" ref="AT9:AY9" si="40">IF($A9="","",-1)</f>
        <v/>
      </c>
      <c r="AU9" s="1" t="str">
        <f t="shared" si="40"/>
        <v/>
      </c>
      <c r="AV9" s="1" t="str">
        <f t="shared" si="40"/>
        <v/>
      </c>
      <c r="AW9" s="1" t="str">
        <f t="shared" si="40"/>
        <v/>
      </c>
      <c r="AX9" s="1" t="str">
        <f t="shared" si="40"/>
        <v/>
      </c>
      <c r="AY9" s="1" t="str">
        <f t="shared" si="40"/>
        <v/>
      </c>
    </row>
    <row r="10" spans="1:51">
      <c r="A10" t="str">
        <f>发布任务!A10</f>
        <v/>
      </c>
      <c r="B10" t="str">
        <f>IF(发布任务!B10="","",发布任务!B10)</f>
        <v/>
      </c>
      <c r="C10" t="str">
        <f t="shared" si="11"/>
        <v/>
      </c>
      <c r="D10" t="str">
        <f t="shared" si="12"/>
        <v/>
      </c>
      <c r="E10" t="str">
        <f>IF(发布任务!J10=0,"",发布任务!J10)</f>
        <v/>
      </c>
      <c r="F10" t="str">
        <f t="shared" si="13"/>
        <v/>
      </c>
      <c r="G10" t="str">
        <f>IF(发布任务!L10=0,"",发布任务!L10)</f>
        <v/>
      </c>
      <c r="H10" t="str">
        <f t="shared" si="2"/>
        <v/>
      </c>
      <c r="I10" t="str">
        <f t="shared" si="14"/>
        <v/>
      </c>
      <c r="J10" t="str">
        <f t="shared" si="15"/>
        <v/>
      </c>
      <c r="K10" t="str">
        <f t="shared" si="16"/>
        <v/>
      </c>
      <c r="L10" t="str">
        <f>IF(发布任务!R10=0,"",发布任务!R10)</f>
        <v/>
      </c>
      <c r="M10" t="str">
        <f t="shared" si="17"/>
        <v/>
      </c>
      <c r="N10" t="str">
        <f t="shared" si="18"/>
        <v/>
      </c>
      <c r="O10" t="str">
        <f t="shared" si="19"/>
        <v/>
      </c>
      <c r="P10" t="str">
        <f t="shared" si="20"/>
        <v/>
      </c>
      <c r="Q10" t="str">
        <f t="shared" si="21"/>
        <v/>
      </c>
      <c r="R10" t="str">
        <f t="shared" si="22"/>
        <v/>
      </c>
      <c r="S10" t="str">
        <f t="shared" si="23"/>
        <v/>
      </c>
      <c r="T10" t="str">
        <f t="shared" si="24"/>
        <v/>
      </c>
      <c r="U10" t="str">
        <f t="shared" si="25"/>
        <v/>
      </c>
      <c r="V10" t="str">
        <f t="shared" si="26"/>
        <v/>
      </c>
      <c r="W10" t="str">
        <f t="shared" si="27"/>
        <v/>
      </c>
      <c r="X10" t="str">
        <f t="shared" si="28"/>
        <v/>
      </c>
      <c r="Y10" t="str">
        <f t="shared" si="29"/>
        <v/>
      </c>
      <c r="Z10" t="str">
        <f t="shared" si="30"/>
        <v/>
      </c>
      <c r="AA10" t="str">
        <f t="shared" si="31"/>
        <v/>
      </c>
      <c r="AB10" t="str">
        <f t="shared" si="32"/>
        <v/>
      </c>
      <c r="AC10" t="str">
        <f t="shared" si="33"/>
        <v/>
      </c>
      <c r="AD10" t="str">
        <f t="shared" si="34"/>
        <v/>
      </c>
      <c r="AE10" t="str">
        <f t="shared" si="35"/>
        <v/>
      </c>
      <c r="AF10" t="str">
        <f t="shared" si="36"/>
        <v/>
      </c>
      <c r="AG10" s="1" t="str">
        <f>发布任务!N10</f>
        <v/>
      </c>
      <c r="AH10" s="1" t="str">
        <f t="shared" si="4"/>
        <v/>
      </c>
      <c r="AI10" s="1" t="str">
        <f t="shared" si="5"/>
        <v/>
      </c>
      <c r="AJ10" s="1" t="str">
        <f>发布任务!P10</f>
        <v/>
      </c>
      <c r="AK10" s="1" t="str">
        <f t="shared" si="37"/>
        <v/>
      </c>
      <c r="AN10" s="1" t="str">
        <f t="shared" si="6"/>
        <v/>
      </c>
      <c r="AO10" s="1" t="str">
        <f>发布任务!W10</f>
        <v/>
      </c>
      <c r="AP10" s="1" t="str">
        <f>发布任务!U10</f>
        <v/>
      </c>
      <c r="AQ10" s="1" t="str">
        <f t="shared" si="7"/>
        <v/>
      </c>
      <c r="AR10" s="1" t="str">
        <f t="shared" si="8"/>
        <v/>
      </c>
      <c r="AS10" s="1" t="str">
        <f t="shared" si="9"/>
        <v/>
      </c>
      <c r="AT10" s="1" t="str">
        <f t="shared" ref="AT10:AY10" si="41">IF($A10="","",-1)</f>
        <v/>
      </c>
      <c r="AU10" s="1" t="str">
        <f t="shared" si="41"/>
        <v/>
      </c>
      <c r="AV10" s="1" t="str">
        <f t="shared" si="41"/>
        <v/>
      </c>
      <c r="AW10" s="1" t="str">
        <f t="shared" si="41"/>
        <v/>
      </c>
      <c r="AX10" s="1" t="str">
        <f t="shared" si="41"/>
        <v/>
      </c>
      <c r="AY10" s="1" t="str">
        <f t="shared" si="41"/>
        <v/>
      </c>
    </row>
    <row r="11" spans="1:51">
      <c r="A11" t="str">
        <f>发布任务!A11</f>
        <v/>
      </c>
      <c r="B11" t="str">
        <f>IF(发布任务!B11="","",发布任务!B11)</f>
        <v/>
      </c>
      <c r="C11" t="str">
        <f t="shared" si="11"/>
        <v/>
      </c>
      <c r="D11" t="str">
        <f t="shared" si="12"/>
        <v/>
      </c>
      <c r="E11" t="str">
        <f>IF(发布任务!J11=0,"",发布任务!J11)</f>
        <v/>
      </c>
      <c r="F11" t="str">
        <f t="shared" si="13"/>
        <v/>
      </c>
      <c r="G11" t="str">
        <f>IF(发布任务!L11=0,"",发布任务!L11)</f>
        <v/>
      </c>
      <c r="H11" t="str">
        <f t="shared" si="2"/>
        <v/>
      </c>
      <c r="I11" t="str">
        <f t="shared" si="14"/>
        <v/>
      </c>
      <c r="J11" t="str">
        <f t="shared" si="15"/>
        <v/>
      </c>
      <c r="K11" t="str">
        <f t="shared" si="16"/>
        <v/>
      </c>
      <c r="L11" t="str">
        <f>IF(发布任务!R11=0,"",发布任务!R11)</f>
        <v/>
      </c>
      <c r="M11" t="str">
        <f t="shared" si="17"/>
        <v/>
      </c>
      <c r="N11" t="str">
        <f t="shared" si="18"/>
        <v/>
      </c>
      <c r="O11" t="str">
        <f t="shared" si="19"/>
        <v/>
      </c>
      <c r="P11" t="str">
        <f t="shared" si="20"/>
        <v/>
      </c>
      <c r="Q11" t="str">
        <f t="shared" si="21"/>
        <v/>
      </c>
      <c r="R11" t="str">
        <f t="shared" si="22"/>
        <v/>
      </c>
      <c r="S11" t="str">
        <f t="shared" si="23"/>
        <v/>
      </c>
      <c r="T11" t="str">
        <f t="shared" si="24"/>
        <v/>
      </c>
      <c r="U11" t="str">
        <f t="shared" si="25"/>
        <v/>
      </c>
      <c r="V11" t="str">
        <f t="shared" si="26"/>
        <v/>
      </c>
      <c r="W11" t="str">
        <f t="shared" si="27"/>
        <v/>
      </c>
      <c r="X11" t="str">
        <f t="shared" si="28"/>
        <v/>
      </c>
      <c r="Y11" t="str">
        <f t="shared" si="29"/>
        <v/>
      </c>
      <c r="Z11" t="str">
        <f t="shared" si="30"/>
        <v/>
      </c>
      <c r="AA11" t="str">
        <f t="shared" si="31"/>
        <v/>
      </c>
      <c r="AB11" t="str">
        <f t="shared" si="32"/>
        <v/>
      </c>
      <c r="AC11" t="str">
        <f t="shared" si="33"/>
        <v/>
      </c>
      <c r="AD11" t="str">
        <f t="shared" si="34"/>
        <v/>
      </c>
      <c r="AE11" t="str">
        <f t="shared" si="35"/>
        <v/>
      </c>
      <c r="AF11" t="str">
        <f t="shared" si="36"/>
        <v/>
      </c>
      <c r="AG11" s="1" t="str">
        <f>发布任务!N11</f>
        <v/>
      </c>
      <c r="AH11" s="1" t="str">
        <f t="shared" si="4"/>
        <v/>
      </c>
      <c r="AI11" s="1" t="str">
        <f t="shared" si="5"/>
        <v/>
      </c>
      <c r="AJ11" s="1" t="str">
        <f>发布任务!P11</f>
        <v/>
      </c>
      <c r="AK11" s="1" t="str">
        <f t="shared" si="37"/>
        <v/>
      </c>
      <c r="AN11" s="1" t="str">
        <f t="shared" si="6"/>
        <v/>
      </c>
      <c r="AO11" s="1" t="str">
        <f>发布任务!W11</f>
        <v/>
      </c>
      <c r="AP11" s="1" t="str">
        <f>发布任务!U11</f>
        <v/>
      </c>
      <c r="AQ11" s="1" t="str">
        <f t="shared" si="7"/>
        <v/>
      </c>
      <c r="AR11" s="1" t="str">
        <f t="shared" si="8"/>
        <v/>
      </c>
      <c r="AS11" s="1" t="str">
        <f t="shared" si="9"/>
        <v/>
      </c>
      <c r="AT11" s="1" t="str">
        <f t="shared" ref="AT11:AY11" si="42">IF($A11="","",-1)</f>
        <v/>
      </c>
      <c r="AU11" s="1" t="str">
        <f t="shared" si="42"/>
        <v/>
      </c>
      <c r="AV11" s="1" t="str">
        <f t="shared" si="42"/>
        <v/>
      </c>
      <c r="AW11" s="1" t="str">
        <f t="shared" si="42"/>
        <v/>
      </c>
      <c r="AX11" s="1" t="str">
        <f t="shared" si="42"/>
        <v/>
      </c>
      <c r="AY11" s="1" t="str">
        <f t="shared" si="42"/>
        <v/>
      </c>
    </row>
    <row r="12" spans="1:51">
      <c r="A12" t="str">
        <f>发布任务!A12</f>
        <v/>
      </c>
      <c r="B12" t="str">
        <f>IF(发布任务!B12="","",发布任务!B12)</f>
        <v/>
      </c>
      <c r="C12" t="str">
        <f t="shared" si="11"/>
        <v/>
      </c>
      <c r="D12" t="str">
        <f t="shared" si="12"/>
        <v/>
      </c>
      <c r="E12" t="str">
        <f>IF(发布任务!J12=0,"",发布任务!J12)</f>
        <v/>
      </c>
      <c r="F12" t="str">
        <f t="shared" si="13"/>
        <v/>
      </c>
      <c r="G12" t="str">
        <f>IF(发布任务!L12=0,"",发布任务!L12)</f>
        <v/>
      </c>
      <c r="H12" t="str">
        <f t="shared" si="2"/>
        <v/>
      </c>
      <c r="I12" t="str">
        <f t="shared" si="14"/>
        <v/>
      </c>
      <c r="J12" t="str">
        <f t="shared" si="15"/>
        <v/>
      </c>
      <c r="K12" t="str">
        <f t="shared" si="16"/>
        <v/>
      </c>
      <c r="L12" t="str">
        <f>IF(发布任务!R12=0,"",发布任务!R12)</f>
        <v/>
      </c>
      <c r="M12" t="str">
        <f t="shared" si="17"/>
        <v/>
      </c>
      <c r="N12" t="str">
        <f t="shared" si="18"/>
        <v/>
      </c>
      <c r="O12" t="str">
        <f t="shared" si="19"/>
        <v/>
      </c>
      <c r="P12" t="str">
        <f t="shared" si="20"/>
        <v/>
      </c>
      <c r="Q12" t="str">
        <f t="shared" si="21"/>
        <v/>
      </c>
      <c r="R12" t="str">
        <f t="shared" si="22"/>
        <v/>
      </c>
      <c r="S12" t="str">
        <f t="shared" si="23"/>
        <v/>
      </c>
      <c r="T12" t="str">
        <f t="shared" si="24"/>
        <v/>
      </c>
      <c r="U12" t="str">
        <f t="shared" si="25"/>
        <v/>
      </c>
      <c r="V12" t="str">
        <f t="shared" si="26"/>
        <v/>
      </c>
      <c r="W12" t="str">
        <f t="shared" si="27"/>
        <v/>
      </c>
      <c r="X12" t="str">
        <f t="shared" si="28"/>
        <v/>
      </c>
      <c r="Y12" t="str">
        <f t="shared" si="29"/>
        <v/>
      </c>
      <c r="Z12" t="str">
        <f t="shared" si="30"/>
        <v/>
      </c>
      <c r="AA12" t="str">
        <f t="shared" si="31"/>
        <v/>
      </c>
      <c r="AB12" t="str">
        <f t="shared" si="32"/>
        <v/>
      </c>
      <c r="AC12" t="str">
        <f t="shared" si="33"/>
        <v/>
      </c>
      <c r="AD12" t="str">
        <f t="shared" si="34"/>
        <v/>
      </c>
      <c r="AE12" t="str">
        <f t="shared" si="35"/>
        <v/>
      </c>
      <c r="AF12" t="str">
        <f t="shared" si="36"/>
        <v/>
      </c>
      <c r="AG12" s="1" t="str">
        <f>发布任务!N12</f>
        <v/>
      </c>
      <c r="AH12" s="1" t="str">
        <f t="shared" si="4"/>
        <v/>
      </c>
      <c r="AI12" s="1" t="str">
        <f t="shared" si="5"/>
        <v/>
      </c>
      <c r="AJ12" s="1" t="str">
        <f>发布任务!P12</f>
        <v/>
      </c>
      <c r="AK12" s="1" t="str">
        <f t="shared" si="37"/>
        <v/>
      </c>
      <c r="AN12" s="1" t="str">
        <f t="shared" si="6"/>
        <v/>
      </c>
      <c r="AO12" s="1" t="str">
        <f>发布任务!W12</f>
        <v/>
      </c>
      <c r="AP12" s="1" t="str">
        <f>发布任务!U12</f>
        <v/>
      </c>
      <c r="AQ12" s="1" t="str">
        <f t="shared" si="7"/>
        <v/>
      </c>
      <c r="AR12" s="1" t="str">
        <f t="shared" si="8"/>
        <v/>
      </c>
      <c r="AS12" s="1" t="str">
        <f t="shared" si="9"/>
        <v/>
      </c>
      <c r="AT12" s="1" t="str">
        <f t="shared" ref="AT12:AY12" si="43">IF($A12="","",-1)</f>
        <v/>
      </c>
      <c r="AU12" s="1" t="str">
        <f t="shared" si="43"/>
        <v/>
      </c>
      <c r="AV12" s="1" t="str">
        <f t="shared" si="43"/>
        <v/>
      </c>
      <c r="AW12" s="1" t="str">
        <f t="shared" si="43"/>
        <v/>
      </c>
      <c r="AX12" s="1" t="str">
        <f t="shared" si="43"/>
        <v/>
      </c>
      <c r="AY12" s="1" t="str">
        <f t="shared" si="43"/>
        <v/>
      </c>
    </row>
    <row r="13" spans="1:51">
      <c r="A13" t="str">
        <f>发布任务!A13</f>
        <v/>
      </c>
      <c r="B13" t="str">
        <f>IF(发布任务!B13="","",发布任务!B13)</f>
        <v/>
      </c>
      <c r="C13" t="str">
        <f t="shared" si="11"/>
        <v/>
      </c>
      <c r="D13" t="str">
        <f t="shared" si="12"/>
        <v/>
      </c>
      <c r="E13" t="str">
        <f>IF(发布任务!J13=0,"",发布任务!J13)</f>
        <v/>
      </c>
      <c r="F13" t="str">
        <f t="shared" si="13"/>
        <v/>
      </c>
      <c r="G13" t="str">
        <f>IF(发布任务!L13=0,"",发布任务!L13)</f>
        <v/>
      </c>
      <c r="H13" t="str">
        <f t="shared" si="2"/>
        <v/>
      </c>
      <c r="I13" t="str">
        <f t="shared" si="14"/>
        <v/>
      </c>
      <c r="J13" t="str">
        <f t="shared" si="15"/>
        <v/>
      </c>
      <c r="K13" t="str">
        <f t="shared" si="16"/>
        <v/>
      </c>
      <c r="L13" t="str">
        <f>IF(发布任务!R13=0,"",发布任务!R13)</f>
        <v/>
      </c>
      <c r="M13" t="str">
        <f t="shared" si="17"/>
        <v/>
      </c>
      <c r="N13" t="str">
        <f t="shared" si="18"/>
        <v/>
      </c>
      <c r="O13" t="str">
        <f t="shared" si="19"/>
        <v/>
      </c>
      <c r="P13" t="str">
        <f t="shared" si="20"/>
        <v/>
      </c>
      <c r="Q13" t="str">
        <f t="shared" si="21"/>
        <v/>
      </c>
      <c r="R13" t="str">
        <f t="shared" si="22"/>
        <v/>
      </c>
      <c r="S13" t="str">
        <f t="shared" si="23"/>
        <v/>
      </c>
      <c r="T13" t="str">
        <f t="shared" si="24"/>
        <v/>
      </c>
      <c r="U13" t="str">
        <f t="shared" si="25"/>
        <v/>
      </c>
      <c r="V13" t="str">
        <f t="shared" si="26"/>
        <v/>
      </c>
      <c r="W13" t="str">
        <f t="shared" si="27"/>
        <v/>
      </c>
      <c r="X13" t="str">
        <f t="shared" si="28"/>
        <v/>
      </c>
      <c r="Y13" t="str">
        <f t="shared" si="29"/>
        <v/>
      </c>
      <c r="Z13" t="str">
        <f t="shared" si="30"/>
        <v/>
      </c>
      <c r="AA13" t="str">
        <f t="shared" si="31"/>
        <v/>
      </c>
      <c r="AB13" t="str">
        <f t="shared" si="32"/>
        <v/>
      </c>
      <c r="AC13" t="str">
        <f t="shared" si="33"/>
        <v/>
      </c>
      <c r="AD13" t="str">
        <f t="shared" si="34"/>
        <v/>
      </c>
      <c r="AE13" t="str">
        <f t="shared" si="35"/>
        <v/>
      </c>
      <c r="AF13" t="str">
        <f t="shared" si="36"/>
        <v/>
      </c>
      <c r="AG13" s="1" t="str">
        <f>发布任务!N13</f>
        <v/>
      </c>
      <c r="AH13" s="1" t="str">
        <f t="shared" si="4"/>
        <v/>
      </c>
      <c r="AI13" s="1" t="str">
        <f t="shared" si="5"/>
        <v/>
      </c>
      <c r="AJ13" s="1" t="str">
        <f>发布任务!P13</f>
        <v/>
      </c>
      <c r="AK13" s="1" t="str">
        <f t="shared" si="37"/>
        <v/>
      </c>
      <c r="AN13" s="1" t="str">
        <f t="shared" si="6"/>
        <v/>
      </c>
      <c r="AO13" s="1" t="str">
        <f>发布任务!W13</f>
        <v/>
      </c>
      <c r="AP13" s="1" t="str">
        <f>发布任务!U13</f>
        <v/>
      </c>
      <c r="AQ13" s="1" t="str">
        <f t="shared" si="7"/>
        <v/>
      </c>
      <c r="AR13" s="1" t="str">
        <f t="shared" si="8"/>
        <v/>
      </c>
      <c r="AS13" s="1" t="str">
        <f t="shared" si="9"/>
        <v/>
      </c>
      <c r="AT13" s="1" t="str">
        <f t="shared" ref="AT13:AY13" si="44">IF($A13="","",-1)</f>
        <v/>
      </c>
      <c r="AU13" s="1" t="str">
        <f t="shared" si="44"/>
        <v/>
      </c>
      <c r="AV13" s="1" t="str">
        <f t="shared" si="44"/>
        <v/>
      </c>
      <c r="AW13" s="1" t="str">
        <f t="shared" si="44"/>
        <v/>
      </c>
      <c r="AX13" s="1" t="str">
        <f t="shared" si="44"/>
        <v/>
      </c>
      <c r="AY13" s="1" t="str">
        <f t="shared" si="44"/>
        <v/>
      </c>
    </row>
    <row r="14" spans="1:51">
      <c r="A14" t="str">
        <f>发布任务!A14</f>
        <v/>
      </c>
      <c r="B14" t="str">
        <f>IF(发布任务!B14="","",发布任务!B14)</f>
        <v/>
      </c>
      <c r="C14" t="str">
        <f t="shared" si="11"/>
        <v/>
      </c>
      <c r="D14" t="str">
        <f t="shared" si="12"/>
        <v/>
      </c>
      <c r="E14" t="str">
        <f>IF(发布任务!J14=0,"",发布任务!J14)</f>
        <v/>
      </c>
      <c r="F14" t="str">
        <f t="shared" si="13"/>
        <v/>
      </c>
      <c r="G14" t="str">
        <f>IF(发布任务!L14=0,"",发布任务!L14)</f>
        <v/>
      </c>
      <c r="H14" t="str">
        <f t="shared" si="2"/>
        <v/>
      </c>
      <c r="I14" t="str">
        <f t="shared" si="14"/>
        <v/>
      </c>
      <c r="J14" t="str">
        <f t="shared" si="15"/>
        <v/>
      </c>
      <c r="K14" t="str">
        <f t="shared" si="16"/>
        <v/>
      </c>
      <c r="L14" t="str">
        <f>IF(发布任务!R14=0,"",发布任务!R14)</f>
        <v/>
      </c>
      <c r="M14" t="str">
        <f t="shared" si="17"/>
        <v/>
      </c>
      <c r="N14" t="str">
        <f t="shared" si="18"/>
        <v/>
      </c>
      <c r="O14" t="str">
        <f t="shared" si="19"/>
        <v/>
      </c>
      <c r="P14" t="str">
        <f t="shared" si="20"/>
        <v/>
      </c>
      <c r="Q14" t="str">
        <f t="shared" si="21"/>
        <v/>
      </c>
      <c r="R14" t="str">
        <f t="shared" si="22"/>
        <v/>
      </c>
      <c r="S14" t="str">
        <f t="shared" si="23"/>
        <v/>
      </c>
      <c r="T14" t="str">
        <f t="shared" si="24"/>
        <v/>
      </c>
      <c r="U14" t="str">
        <f t="shared" si="25"/>
        <v/>
      </c>
      <c r="V14" t="str">
        <f t="shared" si="26"/>
        <v/>
      </c>
      <c r="W14" t="str">
        <f t="shared" si="27"/>
        <v/>
      </c>
      <c r="X14" t="str">
        <f t="shared" si="28"/>
        <v/>
      </c>
      <c r="Y14" t="str">
        <f t="shared" si="29"/>
        <v/>
      </c>
      <c r="Z14" t="str">
        <f t="shared" si="30"/>
        <v/>
      </c>
      <c r="AA14" t="str">
        <f t="shared" si="31"/>
        <v/>
      </c>
      <c r="AB14" t="str">
        <f t="shared" si="32"/>
        <v/>
      </c>
      <c r="AC14" t="str">
        <f t="shared" si="33"/>
        <v/>
      </c>
      <c r="AD14" t="str">
        <f t="shared" si="34"/>
        <v/>
      </c>
      <c r="AE14" t="str">
        <f t="shared" si="35"/>
        <v/>
      </c>
      <c r="AF14" t="str">
        <f t="shared" si="36"/>
        <v/>
      </c>
      <c r="AG14" s="1" t="str">
        <f>发布任务!N14</f>
        <v/>
      </c>
      <c r="AH14" s="1" t="str">
        <f t="shared" si="4"/>
        <v/>
      </c>
      <c r="AI14" s="1" t="str">
        <f t="shared" si="5"/>
        <v/>
      </c>
      <c r="AJ14" s="1" t="str">
        <f>发布任务!P14</f>
        <v/>
      </c>
      <c r="AK14" s="1" t="str">
        <f t="shared" si="37"/>
        <v/>
      </c>
      <c r="AN14" s="1" t="str">
        <f t="shared" si="6"/>
        <v/>
      </c>
      <c r="AO14" s="1" t="str">
        <f>发布任务!W14</f>
        <v/>
      </c>
      <c r="AP14" s="1" t="str">
        <f>发布任务!U14</f>
        <v/>
      </c>
      <c r="AQ14" s="1" t="str">
        <f t="shared" si="7"/>
        <v/>
      </c>
      <c r="AR14" s="1" t="str">
        <f t="shared" si="8"/>
        <v/>
      </c>
      <c r="AS14" s="1" t="str">
        <f t="shared" si="9"/>
        <v/>
      </c>
      <c r="AT14" s="1" t="str">
        <f t="shared" ref="AT14:AY14" si="45">IF($A14="","",-1)</f>
        <v/>
      </c>
      <c r="AU14" s="1" t="str">
        <f t="shared" si="45"/>
        <v/>
      </c>
      <c r="AV14" s="1" t="str">
        <f t="shared" si="45"/>
        <v/>
      </c>
      <c r="AW14" s="1" t="str">
        <f t="shared" si="45"/>
        <v/>
      </c>
      <c r="AX14" s="1" t="str">
        <f t="shared" si="45"/>
        <v/>
      </c>
      <c r="AY14" s="1" t="str">
        <f t="shared" si="45"/>
        <v/>
      </c>
    </row>
    <row r="15" spans="1:51">
      <c r="A15" t="str">
        <f>发布任务!A15</f>
        <v/>
      </c>
      <c r="B15" t="str">
        <f>IF(发布任务!B15="","",发布任务!B15)</f>
        <v/>
      </c>
      <c r="C15" t="str">
        <f t="shared" si="11"/>
        <v/>
      </c>
      <c r="D15" t="str">
        <f t="shared" si="12"/>
        <v/>
      </c>
      <c r="E15" t="str">
        <f>IF(发布任务!J15=0,"",发布任务!J15)</f>
        <v/>
      </c>
      <c r="F15" t="str">
        <f t="shared" si="13"/>
        <v/>
      </c>
      <c r="G15" t="str">
        <f>IF(发布任务!L15=0,"",发布任务!L15)</f>
        <v/>
      </c>
      <c r="H15" t="str">
        <f t="shared" si="2"/>
        <v/>
      </c>
      <c r="I15" t="str">
        <f t="shared" si="14"/>
        <v/>
      </c>
      <c r="J15" t="str">
        <f t="shared" si="15"/>
        <v/>
      </c>
      <c r="K15" t="str">
        <f t="shared" si="16"/>
        <v/>
      </c>
      <c r="L15" t="str">
        <f>IF(发布任务!R15=0,"",发布任务!R15)</f>
        <v/>
      </c>
      <c r="M15" t="str">
        <f t="shared" si="17"/>
        <v/>
      </c>
      <c r="N15" t="str">
        <f t="shared" si="18"/>
        <v/>
      </c>
      <c r="O15" t="str">
        <f t="shared" si="19"/>
        <v/>
      </c>
      <c r="P15" t="str">
        <f t="shared" si="20"/>
        <v/>
      </c>
      <c r="Q15" t="str">
        <f t="shared" si="21"/>
        <v/>
      </c>
      <c r="R15" t="str">
        <f t="shared" si="22"/>
        <v/>
      </c>
      <c r="S15" t="str">
        <f t="shared" si="23"/>
        <v/>
      </c>
      <c r="T15" t="str">
        <f t="shared" si="24"/>
        <v/>
      </c>
      <c r="U15" t="str">
        <f t="shared" si="25"/>
        <v/>
      </c>
      <c r="V15" t="str">
        <f t="shared" si="26"/>
        <v/>
      </c>
      <c r="W15" t="str">
        <f t="shared" si="27"/>
        <v/>
      </c>
      <c r="X15" t="str">
        <f t="shared" si="28"/>
        <v/>
      </c>
      <c r="Y15" t="str">
        <f t="shared" si="29"/>
        <v/>
      </c>
      <c r="Z15" t="str">
        <f t="shared" si="30"/>
        <v/>
      </c>
      <c r="AA15" t="str">
        <f t="shared" si="31"/>
        <v/>
      </c>
      <c r="AB15" t="str">
        <f t="shared" si="32"/>
        <v/>
      </c>
      <c r="AC15" t="str">
        <f t="shared" si="33"/>
        <v/>
      </c>
      <c r="AD15" t="str">
        <f t="shared" si="34"/>
        <v/>
      </c>
      <c r="AE15" t="str">
        <f t="shared" si="35"/>
        <v/>
      </c>
      <c r="AF15" t="str">
        <f t="shared" si="36"/>
        <v/>
      </c>
      <c r="AG15" s="1" t="str">
        <f>发布任务!N15</f>
        <v/>
      </c>
      <c r="AH15" s="1" t="str">
        <f t="shared" si="4"/>
        <v/>
      </c>
      <c r="AI15" s="1" t="str">
        <f t="shared" si="5"/>
        <v/>
      </c>
      <c r="AJ15" s="1" t="str">
        <f>发布任务!P15</f>
        <v/>
      </c>
      <c r="AK15" s="1" t="str">
        <f t="shared" si="37"/>
        <v/>
      </c>
      <c r="AN15" s="1" t="str">
        <f t="shared" si="6"/>
        <v/>
      </c>
      <c r="AO15" s="1" t="str">
        <f>发布任务!W15</f>
        <v/>
      </c>
      <c r="AP15" s="1" t="str">
        <f>发布任务!U15</f>
        <v/>
      </c>
      <c r="AQ15" s="1" t="str">
        <f t="shared" si="7"/>
        <v/>
      </c>
      <c r="AR15" s="1" t="str">
        <f t="shared" si="8"/>
        <v/>
      </c>
      <c r="AS15" s="1" t="str">
        <f t="shared" si="9"/>
        <v/>
      </c>
      <c r="AT15" s="1" t="str">
        <f t="shared" ref="AT15:AY15" si="46">IF($A15="","",-1)</f>
        <v/>
      </c>
      <c r="AU15" s="1" t="str">
        <f t="shared" si="46"/>
        <v/>
      </c>
      <c r="AV15" s="1" t="str">
        <f t="shared" si="46"/>
        <v/>
      </c>
      <c r="AW15" s="1" t="str">
        <f t="shared" si="46"/>
        <v/>
      </c>
      <c r="AX15" s="1" t="str">
        <f t="shared" si="46"/>
        <v/>
      </c>
      <c r="AY15" s="1" t="str">
        <f t="shared" si="46"/>
        <v/>
      </c>
    </row>
    <row r="16" spans="1:51">
      <c r="A16" t="str">
        <f>发布任务!A16</f>
        <v/>
      </c>
      <c r="B16" t="str">
        <f>IF(发布任务!B16="","",发布任务!B16)</f>
        <v/>
      </c>
      <c r="C16" t="str">
        <f t="shared" si="11"/>
        <v/>
      </c>
      <c r="D16" t="str">
        <f t="shared" si="12"/>
        <v/>
      </c>
      <c r="E16" t="str">
        <f>IF(发布任务!J16=0,"",发布任务!J16)</f>
        <v/>
      </c>
      <c r="F16" t="str">
        <f t="shared" si="13"/>
        <v/>
      </c>
      <c r="G16" t="str">
        <f>IF(发布任务!L16=0,"",发布任务!L16)</f>
        <v/>
      </c>
      <c r="H16" t="str">
        <f t="shared" si="2"/>
        <v/>
      </c>
      <c r="I16" t="str">
        <f t="shared" si="14"/>
        <v/>
      </c>
      <c r="J16" t="str">
        <f t="shared" si="15"/>
        <v/>
      </c>
      <c r="K16" t="str">
        <f t="shared" si="16"/>
        <v/>
      </c>
      <c r="L16" t="str">
        <f>IF(发布任务!R16=0,"",发布任务!R16)</f>
        <v/>
      </c>
      <c r="M16" t="str">
        <f t="shared" si="17"/>
        <v/>
      </c>
      <c r="N16" t="str">
        <f t="shared" si="18"/>
        <v/>
      </c>
      <c r="O16" t="str">
        <f t="shared" si="19"/>
        <v/>
      </c>
      <c r="P16" t="str">
        <f t="shared" si="20"/>
        <v/>
      </c>
      <c r="Q16" t="str">
        <f t="shared" si="21"/>
        <v/>
      </c>
      <c r="R16" t="str">
        <f t="shared" si="22"/>
        <v/>
      </c>
      <c r="S16" t="str">
        <f t="shared" si="23"/>
        <v/>
      </c>
      <c r="T16" t="str">
        <f t="shared" si="24"/>
        <v/>
      </c>
      <c r="U16" t="str">
        <f t="shared" si="25"/>
        <v/>
      </c>
      <c r="V16" t="str">
        <f t="shared" si="26"/>
        <v/>
      </c>
      <c r="W16" t="str">
        <f t="shared" si="27"/>
        <v/>
      </c>
      <c r="X16" t="str">
        <f t="shared" si="28"/>
        <v/>
      </c>
      <c r="Y16" t="str">
        <f t="shared" si="29"/>
        <v/>
      </c>
      <c r="Z16" t="str">
        <f t="shared" si="30"/>
        <v/>
      </c>
      <c r="AA16" t="str">
        <f t="shared" si="31"/>
        <v/>
      </c>
      <c r="AB16" t="str">
        <f t="shared" si="32"/>
        <v/>
      </c>
      <c r="AC16" t="str">
        <f t="shared" si="33"/>
        <v/>
      </c>
      <c r="AD16" t="str">
        <f t="shared" si="34"/>
        <v/>
      </c>
      <c r="AE16" t="str">
        <f t="shared" si="35"/>
        <v/>
      </c>
      <c r="AF16" t="str">
        <f t="shared" si="36"/>
        <v/>
      </c>
      <c r="AG16" s="1" t="str">
        <f>发布任务!N16</f>
        <v/>
      </c>
      <c r="AH16" s="1" t="str">
        <f t="shared" si="4"/>
        <v/>
      </c>
      <c r="AI16" s="1" t="str">
        <f t="shared" si="5"/>
        <v/>
      </c>
      <c r="AJ16" s="1" t="str">
        <f>发布任务!P16</f>
        <v/>
      </c>
      <c r="AK16" s="1" t="str">
        <f t="shared" si="37"/>
        <v/>
      </c>
      <c r="AN16" s="1" t="str">
        <f t="shared" si="6"/>
        <v/>
      </c>
      <c r="AO16" s="1" t="str">
        <f>发布任务!W16</f>
        <v/>
      </c>
      <c r="AP16" s="1" t="str">
        <f>发布任务!U16</f>
        <v/>
      </c>
      <c r="AQ16" s="1" t="str">
        <f t="shared" si="7"/>
        <v/>
      </c>
      <c r="AR16" s="1" t="str">
        <f t="shared" si="8"/>
        <v/>
      </c>
      <c r="AS16" s="1" t="str">
        <f t="shared" si="9"/>
        <v/>
      </c>
      <c r="AT16" s="1" t="str">
        <f t="shared" ref="AT16:AY16" si="47">IF($A16="","",-1)</f>
        <v/>
      </c>
      <c r="AU16" s="1" t="str">
        <f t="shared" si="47"/>
        <v/>
      </c>
      <c r="AV16" s="1" t="str">
        <f t="shared" si="47"/>
        <v/>
      </c>
      <c r="AW16" s="1" t="str">
        <f t="shared" si="47"/>
        <v/>
      </c>
      <c r="AX16" s="1" t="str">
        <f t="shared" si="47"/>
        <v/>
      </c>
      <c r="AY16" s="1" t="str">
        <f t="shared" si="47"/>
        <v/>
      </c>
    </row>
    <row r="17" spans="1:51">
      <c r="A17" t="str">
        <f>发布任务!A17</f>
        <v/>
      </c>
      <c r="B17" t="str">
        <f>IF(发布任务!B17="","",发布任务!B17)</f>
        <v/>
      </c>
      <c r="C17" t="str">
        <f t="shared" si="11"/>
        <v/>
      </c>
      <c r="D17" t="str">
        <f t="shared" si="12"/>
        <v/>
      </c>
      <c r="E17" t="str">
        <f>IF(发布任务!J17=0,"",发布任务!J17)</f>
        <v/>
      </c>
      <c r="F17" t="str">
        <f t="shared" si="13"/>
        <v/>
      </c>
      <c r="G17" t="str">
        <f>IF(发布任务!L17=0,"",发布任务!L17)</f>
        <v/>
      </c>
      <c r="H17" t="str">
        <f t="shared" si="2"/>
        <v/>
      </c>
      <c r="I17" t="str">
        <f t="shared" si="14"/>
        <v/>
      </c>
      <c r="J17" t="str">
        <f t="shared" si="15"/>
        <v/>
      </c>
      <c r="K17" t="str">
        <f t="shared" si="16"/>
        <v/>
      </c>
      <c r="L17" t="str">
        <f>IF(发布任务!R17=0,"",发布任务!R17)</f>
        <v/>
      </c>
      <c r="M17" t="str">
        <f t="shared" si="17"/>
        <v/>
      </c>
      <c r="N17" t="str">
        <f t="shared" si="18"/>
        <v/>
      </c>
      <c r="O17" t="str">
        <f t="shared" si="19"/>
        <v/>
      </c>
      <c r="P17" t="str">
        <f t="shared" si="20"/>
        <v/>
      </c>
      <c r="Q17" t="str">
        <f t="shared" si="21"/>
        <v/>
      </c>
      <c r="R17" t="str">
        <f t="shared" si="22"/>
        <v/>
      </c>
      <c r="S17" t="str">
        <f t="shared" si="23"/>
        <v/>
      </c>
      <c r="T17" t="str">
        <f t="shared" si="24"/>
        <v/>
      </c>
      <c r="U17" t="str">
        <f t="shared" si="25"/>
        <v/>
      </c>
      <c r="V17" t="str">
        <f t="shared" si="26"/>
        <v/>
      </c>
      <c r="W17" t="str">
        <f t="shared" si="27"/>
        <v/>
      </c>
      <c r="X17" t="str">
        <f t="shared" si="28"/>
        <v/>
      </c>
      <c r="Y17" t="str">
        <f t="shared" si="29"/>
        <v/>
      </c>
      <c r="Z17" t="str">
        <f t="shared" si="30"/>
        <v/>
      </c>
      <c r="AA17" t="str">
        <f t="shared" si="31"/>
        <v/>
      </c>
      <c r="AB17" t="str">
        <f t="shared" si="32"/>
        <v/>
      </c>
      <c r="AC17" t="str">
        <f t="shared" si="33"/>
        <v/>
      </c>
      <c r="AD17" t="str">
        <f t="shared" si="34"/>
        <v/>
      </c>
      <c r="AE17" t="str">
        <f t="shared" si="35"/>
        <v/>
      </c>
      <c r="AF17" t="str">
        <f t="shared" si="36"/>
        <v/>
      </c>
      <c r="AG17" s="1" t="str">
        <f>发布任务!N17</f>
        <v/>
      </c>
      <c r="AH17" s="1" t="str">
        <f t="shared" si="4"/>
        <v/>
      </c>
      <c r="AI17" s="1" t="str">
        <f t="shared" si="5"/>
        <v/>
      </c>
      <c r="AJ17" s="1" t="str">
        <f>发布任务!P17</f>
        <v/>
      </c>
      <c r="AK17" s="1" t="str">
        <f t="shared" si="37"/>
        <v/>
      </c>
      <c r="AN17" s="1" t="str">
        <f t="shared" si="6"/>
        <v/>
      </c>
      <c r="AO17" s="1" t="str">
        <f>发布任务!W17</f>
        <v/>
      </c>
      <c r="AP17" s="1" t="str">
        <f>发布任务!U17</f>
        <v/>
      </c>
      <c r="AQ17" s="1" t="str">
        <f t="shared" si="7"/>
        <v/>
      </c>
      <c r="AR17" s="1" t="str">
        <f t="shared" si="8"/>
        <v/>
      </c>
      <c r="AS17" s="1" t="str">
        <f t="shared" si="9"/>
        <v/>
      </c>
      <c r="AT17" s="1" t="str">
        <f t="shared" ref="AT17:AY17" si="48">IF($A17="","",-1)</f>
        <v/>
      </c>
      <c r="AU17" s="1" t="str">
        <f t="shared" si="48"/>
        <v/>
      </c>
      <c r="AV17" s="1" t="str">
        <f t="shared" si="48"/>
        <v/>
      </c>
      <c r="AW17" s="1" t="str">
        <f t="shared" si="48"/>
        <v/>
      </c>
      <c r="AX17" s="1" t="str">
        <f t="shared" si="48"/>
        <v/>
      </c>
      <c r="AY17" s="1" t="str">
        <f t="shared" si="48"/>
        <v/>
      </c>
    </row>
    <row r="18" spans="1:51">
      <c r="A18" t="str">
        <f>发布任务!A18</f>
        <v/>
      </c>
      <c r="B18" t="str">
        <f>IF(发布任务!B18="","",发布任务!B18)</f>
        <v/>
      </c>
      <c r="C18" t="str">
        <f t="shared" si="11"/>
        <v/>
      </c>
      <c r="D18" t="str">
        <f t="shared" si="12"/>
        <v/>
      </c>
      <c r="E18" t="str">
        <f>IF(发布任务!J18=0,"",发布任务!J18)</f>
        <v/>
      </c>
      <c r="F18" t="str">
        <f t="shared" si="13"/>
        <v/>
      </c>
      <c r="G18" t="str">
        <f>IF(发布任务!L18=0,"",发布任务!L18)</f>
        <v/>
      </c>
      <c r="H18" t="str">
        <f t="shared" si="2"/>
        <v/>
      </c>
      <c r="I18" t="str">
        <f t="shared" si="14"/>
        <v/>
      </c>
      <c r="J18" t="str">
        <f t="shared" si="15"/>
        <v/>
      </c>
      <c r="K18" t="str">
        <f t="shared" si="16"/>
        <v/>
      </c>
      <c r="L18" t="str">
        <f>IF(发布任务!R18=0,"",发布任务!R18)</f>
        <v/>
      </c>
      <c r="M18" t="str">
        <f t="shared" si="17"/>
        <v/>
      </c>
      <c r="N18" t="str">
        <f t="shared" si="18"/>
        <v/>
      </c>
      <c r="O18" t="str">
        <f t="shared" si="19"/>
        <v/>
      </c>
      <c r="P18" t="str">
        <f t="shared" si="20"/>
        <v/>
      </c>
      <c r="Q18" t="str">
        <f t="shared" si="21"/>
        <v/>
      </c>
      <c r="R18" t="str">
        <f t="shared" si="22"/>
        <v/>
      </c>
      <c r="S18" t="str">
        <f t="shared" si="23"/>
        <v/>
      </c>
      <c r="T18" t="str">
        <f t="shared" si="24"/>
        <v/>
      </c>
      <c r="U18" t="str">
        <f t="shared" si="25"/>
        <v/>
      </c>
      <c r="V18" t="str">
        <f t="shared" si="26"/>
        <v/>
      </c>
      <c r="W18" t="str">
        <f t="shared" si="27"/>
        <v/>
      </c>
      <c r="X18" t="str">
        <f t="shared" si="28"/>
        <v/>
      </c>
      <c r="Y18" t="str">
        <f t="shared" si="29"/>
        <v/>
      </c>
      <c r="Z18" t="str">
        <f t="shared" si="30"/>
        <v/>
      </c>
      <c r="AA18" t="str">
        <f t="shared" si="31"/>
        <v/>
      </c>
      <c r="AB18" t="str">
        <f t="shared" si="32"/>
        <v/>
      </c>
      <c r="AC18" t="str">
        <f t="shared" si="33"/>
        <v/>
      </c>
      <c r="AD18" t="str">
        <f t="shared" si="34"/>
        <v/>
      </c>
      <c r="AE18" t="str">
        <f t="shared" si="35"/>
        <v/>
      </c>
      <c r="AF18" t="str">
        <f t="shared" si="36"/>
        <v/>
      </c>
      <c r="AG18" s="1" t="str">
        <f>发布任务!N18</f>
        <v/>
      </c>
      <c r="AH18" s="1" t="str">
        <f t="shared" si="4"/>
        <v/>
      </c>
      <c r="AI18" s="1" t="str">
        <f t="shared" si="5"/>
        <v/>
      </c>
      <c r="AJ18" s="1" t="str">
        <f>发布任务!P18</f>
        <v/>
      </c>
      <c r="AK18" s="1" t="str">
        <f t="shared" si="37"/>
        <v/>
      </c>
      <c r="AN18" s="1" t="str">
        <f t="shared" si="6"/>
        <v/>
      </c>
      <c r="AO18" s="1" t="str">
        <f>发布任务!W18</f>
        <v/>
      </c>
      <c r="AP18" s="1" t="str">
        <f>发布任务!U18</f>
        <v/>
      </c>
      <c r="AQ18" s="1" t="str">
        <f t="shared" si="7"/>
        <v/>
      </c>
      <c r="AR18" s="1" t="str">
        <f t="shared" si="8"/>
        <v/>
      </c>
      <c r="AS18" s="1" t="str">
        <f t="shared" si="9"/>
        <v/>
      </c>
      <c r="AT18" s="1" t="str">
        <f t="shared" ref="AT18:AY18" si="49">IF($A18="","",-1)</f>
        <v/>
      </c>
      <c r="AU18" s="1" t="str">
        <f t="shared" si="49"/>
        <v/>
      </c>
      <c r="AV18" s="1" t="str">
        <f t="shared" si="49"/>
        <v/>
      </c>
      <c r="AW18" s="1" t="str">
        <f t="shared" si="49"/>
        <v/>
      </c>
      <c r="AX18" s="1" t="str">
        <f t="shared" si="49"/>
        <v/>
      </c>
      <c r="AY18" s="1" t="str">
        <f t="shared" si="49"/>
        <v/>
      </c>
    </row>
    <row r="19" spans="1:51">
      <c r="A19" t="str">
        <f>发布任务!A19</f>
        <v/>
      </c>
      <c r="B19" t="str">
        <f>IF(发布任务!B19="","",发布任务!B19)</f>
        <v/>
      </c>
      <c r="C19" t="str">
        <f t="shared" si="11"/>
        <v/>
      </c>
      <c r="D19" t="str">
        <f t="shared" si="12"/>
        <v/>
      </c>
      <c r="E19" t="str">
        <f>IF(发布任务!J19=0,"",发布任务!J19)</f>
        <v/>
      </c>
      <c r="F19" t="str">
        <f t="shared" si="13"/>
        <v/>
      </c>
      <c r="G19" t="str">
        <f>IF(发布任务!L19=0,"",发布任务!L19)</f>
        <v/>
      </c>
      <c r="H19" t="str">
        <f t="shared" si="2"/>
        <v/>
      </c>
      <c r="I19" t="str">
        <f t="shared" si="14"/>
        <v/>
      </c>
      <c r="J19" t="str">
        <f t="shared" si="15"/>
        <v/>
      </c>
      <c r="K19" t="str">
        <f t="shared" si="16"/>
        <v/>
      </c>
      <c r="L19" t="str">
        <f>IF(发布任务!R19=0,"",发布任务!R19)</f>
        <v/>
      </c>
      <c r="M19" t="str">
        <f t="shared" si="17"/>
        <v/>
      </c>
      <c r="N19" t="str">
        <f t="shared" si="18"/>
        <v/>
      </c>
      <c r="O19" t="str">
        <f t="shared" si="19"/>
        <v/>
      </c>
      <c r="P19" t="str">
        <f t="shared" si="20"/>
        <v/>
      </c>
      <c r="Q19" t="str">
        <f t="shared" si="21"/>
        <v/>
      </c>
      <c r="R19" t="str">
        <f t="shared" si="22"/>
        <v/>
      </c>
      <c r="S19" t="str">
        <f t="shared" si="23"/>
        <v/>
      </c>
      <c r="T19" t="str">
        <f t="shared" si="24"/>
        <v/>
      </c>
      <c r="U19" t="str">
        <f t="shared" si="25"/>
        <v/>
      </c>
      <c r="V19" t="str">
        <f t="shared" si="26"/>
        <v/>
      </c>
      <c r="W19" t="str">
        <f t="shared" si="27"/>
        <v/>
      </c>
      <c r="X19" t="str">
        <f t="shared" si="28"/>
        <v/>
      </c>
      <c r="Y19" t="str">
        <f t="shared" si="29"/>
        <v/>
      </c>
      <c r="Z19" t="str">
        <f t="shared" si="30"/>
        <v/>
      </c>
      <c r="AA19" t="str">
        <f t="shared" si="31"/>
        <v/>
      </c>
      <c r="AB19" t="str">
        <f t="shared" si="32"/>
        <v/>
      </c>
      <c r="AC19" t="str">
        <f t="shared" si="33"/>
        <v/>
      </c>
      <c r="AD19" t="str">
        <f t="shared" si="34"/>
        <v/>
      </c>
      <c r="AE19" t="str">
        <f t="shared" si="35"/>
        <v/>
      </c>
      <c r="AF19" t="str">
        <f t="shared" si="36"/>
        <v/>
      </c>
      <c r="AG19" s="1" t="str">
        <f>发布任务!N19</f>
        <v/>
      </c>
      <c r="AH19" s="1" t="str">
        <f t="shared" si="4"/>
        <v/>
      </c>
      <c r="AI19" s="1" t="str">
        <f t="shared" si="5"/>
        <v/>
      </c>
      <c r="AJ19" s="1" t="str">
        <f>发布任务!P19</f>
        <v/>
      </c>
      <c r="AK19" s="1" t="str">
        <f t="shared" si="37"/>
        <v/>
      </c>
      <c r="AN19" s="1" t="str">
        <f t="shared" si="6"/>
        <v/>
      </c>
      <c r="AO19" s="1" t="str">
        <f>发布任务!W19</f>
        <v/>
      </c>
      <c r="AP19" s="1" t="str">
        <f>发布任务!U19</f>
        <v/>
      </c>
      <c r="AQ19" s="1" t="str">
        <f t="shared" si="7"/>
        <v/>
      </c>
      <c r="AR19" s="1" t="str">
        <f t="shared" si="8"/>
        <v/>
      </c>
      <c r="AS19" s="1" t="str">
        <f t="shared" si="9"/>
        <v/>
      </c>
      <c r="AT19" s="1" t="str">
        <f t="shared" ref="AT19:AY19" si="50">IF($A19="","",-1)</f>
        <v/>
      </c>
      <c r="AU19" s="1" t="str">
        <f t="shared" si="50"/>
        <v/>
      </c>
      <c r="AV19" s="1" t="str">
        <f t="shared" si="50"/>
        <v/>
      </c>
      <c r="AW19" s="1" t="str">
        <f t="shared" si="50"/>
        <v/>
      </c>
      <c r="AX19" s="1" t="str">
        <f t="shared" si="50"/>
        <v/>
      </c>
      <c r="AY19" s="1" t="str">
        <f t="shared" si="50"/>
        <v/>
      </c>
    </row>
    <row r="20" spans="1:51">
      <c r="A20" t="str">
        <f>发布任务!A20</f>
        <v/>
      </c>
      <c r="B20" t="str">
        <f>IF(发布任务!B20="","",发布任务!B20)</f>
        <v/>
      </c>
      <c r="C20" t="str">
        <f t="shared" si="11"/>
        <v/>
      </c>
      <c r="D20" t="str">
        <f t="shared" si="12"/>
        <v/>
      </c>
      <c r="E20" t="str">
        <f>IF(发布任务!J20=0,"",发布任务!J20)</f>
        <v/>
      </c>
      <c r="F20" t="str">
        <f t="shared" si="13"/>
        <v/>
      </c>
      <c r="G20" t="str">
        <f>IF(发布任务!L20=0,"",发布任务!L20)</f>
        <v/>
      </c>
      <c r="H20" t="str">
        <f t="shared" si="2"/>
        <v/>
      </c>
      <c r="I20" t="str">
        <f t="shared" si="14"/>
        <v/>
      </c>
      <c r="J20" t="str">
        <f t="shared" si="15"/>
        <v/>
      </c>
      <c r="K20" t="str">
        <f t="shared" si="16"/>
        <v/>
      </c>
      <c r="L20" t="str">
        <f>IF(发布任务!R20=0,"",发布任务!R20)</f>
        <v/>
      </c>
      <c r="M20" t="str">
        <f t="shared" si="17"/>
        <v/>
      </c>
      <c r="N20" t="str">
        <f t="shared" si="18"/>
        <v/>
      </c>
      <c r="O20" t="str">
        <f t="shared" si="19"/>
        <v/>
      </c>
      <c r="P20" t="str">
        <f t="shared" si="20"/>
        <v/>
      </c>
      <c r="Q20" t="str">
        <f t="shared" si="21"/>
        <v/>
      </c>
      <c r="R20" t="str">
        <f t="shared" si="22"/>
        <v/>
      </c>
      <c r="S20" t="str">
        <f t="shared" si="23"/>
        <v/>
      </c>
      <c r="T20" t="str">
        <f t="shared" si="24"/>
        <v/>
      </c>
      <c r="U20" t="str">
        <f t="shared" si="25"/>
        <v/>
      </c>
      <c r="V20" t="str">
        <f t="shared" si="26"/>
        <v/>
      </c>
      <c r="W20" t="str">
        <f t="shared" si="27"/>
        <v/>
      </c>
      <c r="X20" t="str">
        <f t="shared" si="28"/>
        <v/>
      </c>
      <c r="Y20" t="str">
        <f t="shared" si="29"/>
        <v/>
      </c>
      <c r="Z20" t="str">
        <f t="shared" si="30"/>
        <v/>
      </c>
      <c r="AA20" t="str">
        <f t="shared" si="31"/>
        <v/>
      </c>
      <c r="AB20" t="str">
        <f t="shared" si="32"/>
        <v/>
      </c>
      <c r="AC20" t="str">
        <f t="shared" si="33"/>
        <v/>
      </c>
      <c r="AD20" t="str">
        <f t="shared" si="34"/>
        <v/>
      </c>
      <c r="AE20" t="str">
        <f t="shared" si="35"/>
        <v/>
      </c>
      <c r="AF20" t="str">
        <f t="shared" si="36"/>
        <v/>
      </c>
      <c r="AG20" s="1" t="str">
        <f>发布任务!N20</f>
        <v/>
      </c>
      <c r="AH20" s="1" t="str">
        <f t="shared" si="4"/>
        <v/>
      </c>
      <c r="AI20" s="1" t="str">
        <f t="shared" si="5"/>
        <v/>
      </c>
      <c r="AJ20" s="1" t="str">
        <f>发布任务!P20</f>
        <v/>
      </c>
      <c r="AK20" s="1" t="str">
        <f t="shared" si="37"/>
        <v/>
      </c>
      <c r="AN20" s="1" t="str">
        <f t="shared" si="6"/>
        <v/>
      </c>
      <c r="AO20" s="1" t="str">
        <f>发布任务!W20</f>
        <v/>
      </c>
      <c r="AP20" s="1" t="str">
        <f>发布任务!U20</f>
        <v/>
      </c>
      <c r="AQ20" s="1" t="str">
        <f t="shared" si="7"/>
        <v/>
      </c>
      <c r="AR20" s="1" t="str">
        <f t="shared" si="8"/>
        <v/>
      </c>
      <c r="AS20" s="1" t="str">
        <f t="shared" si="9"/>
        <v/>
      </c>
      <c r="AT20" s="1" t="str">
        <f t="shared" ref="AT20:AY20" si="51">IF($A20="","",-1)</f>
        <v/>
      </c>
      <c r="AU20" s="1" t="str">
        <f t="shared" si="51"/>
        <v/>
      </c>
      <c r="AV20" s="1" t="str">
        <f t="shared" si="51"/>
        <v/>
      </c>
      <c r="AW20" s="1" t="str">
        <f t="shared" si="51"/>
        <v/>
      </c>
      <c r="AX20" s="1" t="str">
        <f t="shared" si="51"/>
        <v/>
      </c>
      <c r="AY20" s="1" t="str">
        <f t="shared" si="51"/>
        <v/>
      </c>
    </row>
    <row r="21" spans="1:51">
      <c r="A21" t="str">
        <f>发布任务!A21</f>
        <v/>
      </c>
      <c r="B21" t="str">
        <f>IF(发布任务!B21="","",发布任务!B21)</f>
        <v/>
      </c>
      <c r="C21" t="str">
        <f t="shared" si="11"/>
        <v/>
      </c>
      <c r="D21" t="str">
        <f t="shared" si="12"/>
        <v/>
      </c>
      <c r="E21" t="str">
        <f>IF(发布任务!J21=0,"",发布任务!J21)</f>
        <v/>
      </c>
      <c r="F21" t="str">
        <f t="shared" si="13"/>
        <v/>
      </c>
      <c r="G21" t="str">
        <f>IF(发布任务!L21=0,"",发布任务!L21)</f>
        <v/>
      </c>
      <c r="H21" t="str">
        <f t="shared" si="2"/>
        <v/>
      </c>
      <c r="I21" t="str">
        <f t="shared" si="14"/>
        <v/>
      </c>
      <c r="J21" t="str">
        <f t="shared" si="15"/>
        <v/>
      </c>
      <c r="K21" t="str">
        <f t="shared" si="16"/>
        <v/>
      </c>
      <c r="L21" t="str">
        <f>IF(发布任务!R21=0,"",发布任务!R21)</f>
        <v/>
      </c>
      <c r="M21" t="str">
        <f t="shared" si="17"/>
        <v/>
      </c>
      <c r="N21" t="str">
        <f t="shared" si="18"/>
        <v/>
      </c>
      <c r="O21" t="str">
        <f t="shared" si="19"/>
        <v/>
      </c>
      <c r="P21" t="str">
        <f t="shared" si="20"/>
        <v/>
      </c>
      <c r="Q21" t="str">
        <f t="shared" si="21"/>
        <v/>
      </c>
      <c r="R21" t="str">
        <f t="shared" si="22"/>
        <v/>
      </c>
      <c r="S21" t="str">
        <f t="shared" si="23"/>
        <v/>
      </c>
      <c r="T21" t="str">
        <f t="shared" si="24"/>
        <v/>
      </c>
      <c r="U21" t="str">
        <f t="shared" si="25"/>
        <v/>
      </c>
      <c r="V21" t="str">
        <f t="shared" si="26"/>
        <v/>
      </c>
      <c r="W21" t="str">
        <f t="shared" si="27"/>
        <v/>
      </c>
      <c r="X21" t="str">
        <f t="shared" si="28"/>
        <v/>
      </c>
      <c r="Y21" t="str">
        <f t="shared" si="29"/>
        <v/>
      </c>
      <c r="Z21" t="str">
        <f t="shared" si="30"/>
        <v/>
      </c>
      <c r="AA21" t="str">
        <f t="shared" si="31"/>
        <v/>
      </c>
      <c r="AB21" t="str">
        <f t="shared" si="32"/>
        <v/>
      </c>
      <c r="AC21" t="str">
        <f t="shared" si="33"/>
        <v/>
      </c>
      <c r="AD21" t="str">
        <f t="shared" si="34"/>
        <v/>
      </c>
      <c r="AE21" t="str">
        <f t="shared" si="35"/>
        <v/>
      </c>
      <c r="AF21" t="str">
        <f t="shared" si="36"/>
        <v/>
      </c>
      <c r="AG21" s="1" t="str">
        <f>发布任务!N21</f>
        <v/>
      </c>
      <c r="AH21" s="1" t="str">
        <f t="shared" si="4"/>
        <v/>
      </c>
      <c r="AI21" s="1" t="str">
        <f t="shared" si="5"/>
        <v/>
      </c>
      <c r="AJ21" s="1" t="str">
        <f>发布任务!P21</f>
        <v/>
      </c>
      <c r="AK21" s="1" t="str">
        <f t="shared" si="37"/>
        <v/>
      </c>
      <c r="AN21" s="1" t="str">
        <f t="shared" si="6"/>
        <v/>
      </c>
      <c r="AO21" s="1" t="str">
        <f>发布任务!W21</f>
        <v/>
      </c>
      <c r="AP21" s="1" t="str">
        <f>发布任务!U21</f>
        <v/>
      </c>
      <c r="AQ21" s="1" t="str">
        <f t="shared" si="7"/>
        <v/>
      </c>
      <c r="AR21" s="1" t="str">
        <f t="shared" si="8"/>
        <v/>
      </c>
      <c r="AS21" s="1" t="str">
        <f t="shared" si="9"/>
        <v/>
      </c>
      <c r="AT21" s="1" t="str">
        <f t="shared" ref="AT21:AY21" si="52">IF($A21="","",-1)</f>
        <v/>
      </c>
      <c r="AU21" s="1" t="str">
        <f t="shared" si="52"/>
        <v/>
      </c>
      <c r="AV21" s="1" t="str">
        <f t="shared" si="52"/>
        <v/>
      </c>
      <c r="AW21" s="1" t="str">
        <f t="shared" si="52"/>
        <v/>
      </c>
      <c r="AX21" s="1" t="str">
        <f t="shared" si="52"/>
        <v/>
      </c>
      <c r="AY21" s="1" t="str">
        <f t="shared" si="52"/>
        <v/>
      </c>
    </row>
    <row r="22" spans="1:51">
      <c r="A22" t="str">
        <f>发布任务!A22</f>
        <v/>
      </c>
      <c r="B22" t="str">
        <f>IF(发布任务!B22="","",发布任务!B22)</f>
        <v/>
      </c>
      <c r="C22" t="str">
        <f t="shared" si="11"/>
        <v/>
      </c>
      <c r="D22" t="str">
        <f t="shared" si="12"/>
        <v/>
      </c>
      <c r="E22" t="str">
        <f>IF(发布任务!J22=0,"",发布任务!J22)</f>
        <v/>
      </c>
      <c r="F22" t="str">
        <f t="shared" si="13"/>
        <v/>
      </c>
      <c r="G22" t="str">
        <f>IF(发布任务!L22=0,"",发布任务!L22)</f>
        <v/>
      </c>
      <c r="H22" t="str">
        <f t="shared" si="2"/>
        <v/>
      </c>
      <c r="I22" t="str">
        <f t="shared" si="14"/>
        <v/>
      </c>
      <c r="J22" t="str">
        <f t="shared" si="15"/>
        <v/>
      </c>
      <c r="K22" t="str">
        <f t="shared" si="16"/>
        <v/>
      </c>
      <c r="L22" t="str">
        <f>IF(发布任务!R22=0,"",发布任务!R22)</f>
        <v/>
      </c>
      <c r="M22" t="str">
        <f t="shared" si="17"/>
        <v/>
      </c>
      <c r="N22" t="str">
        <f t="shared" si="18"/>
        <v/>
      </c>
      <c r="O22" t="str">
        <f t="shared" si="19"/>
        <v/>
      </c>
      <c r="P22" t="str">
        <f t="shared" si="20"/>
        <v/>
      </c>
      <c r="Q22" t="str">
        <f t="shared" si="21"/>
        <v/>
      </c>
      <c r="R22" t="str">
        <f t="shared" si="22"/>
        <v/>
      </c>
      <c r="S22" t="str">
        <f t="shared" si="23"/>
        <v/>
      </c>
      <c r="T22" t="str">
        <f t="shared" si="24"/>
        <v/>
      </c>
      <c r="U22" t="str">
        <f t="shared" si="25"/>
        <v/>
      </c>
      <c r="V22" t="str">
        <f t="shared" si="26"/>
        <v/>
      </c>
      <c r="W22" t="str">
        <f t="shared" si="27"/>
        <v/>
      </c>
      <c r="X22" t="str">
        <f t="shared" si="28"/>
        <v/>
      </c>
      <c r="Y22" t="str">
        <f t="shared" si="29"/>
        <v/>
      </c>
      <c r="Z22" t="str">
        <f t="shared" si="30"/>
        <v/>
      </c>
      <c r="AA22" t="str">
        <f t="shared" si="31"/>
        <v/>
      </c>
      <c r="AB22" t="str">
        <f t="shared" si="32"/>
        <v/>
      </c>
      <c r="AC22" t="str">
        <f t="shared" si="33"/>
        <v/>
      </c>
      <c r="AD22" t="str">
        <f t="shared" si="34"/>
        <v/>
      </c>
      <c r="AE22" t="str">
        <f t="shared" si="35"/>
        <v/>
      </c>
      <c r="AF22" t="str">
        <f t="shared" si="36"/>
        <v/>
      </c>
      <c r="AG22" s="1" t="str">
        <f>发布任务!N22</f>
        <v/>
      </c>
      <c r="AH22" s="1" t="str">
        <f t="shared" si="4"/>
        <v/>
      </c>
      <c r="AI22" s="1" t="str">
        <f t="shared" si="5"/>
        <v/>
      </c>
      <c r="AJ22" s="1" t="str">
        <f>发布任务!P22</f>
        <v/>
      </c>
      <c r="AK22" s="1" t="str">
        <f t="shared" si="37"/>
        <v/>
      </c>
      <c r="AN22" s="1" t="str">
        <f t="shared" si="6"/>
        <v/>
      </c>
      <c r="AO22" s="1" t="str">
        <f>发布任务!W22</f>
        <v/>
      </c>
      <c r="AP22" s="1" t="str">
        <f>发布任务!U22</f>
        <v/>
      </c>
      <c r="AQ22" s="1" t="str">
        <f t="shared" si="7"/>
        <v/>
      </c>
      <c r="AR22" s="1" t="str">
        <f t="shared" si="8"/>
        <v/>
      </c>
      <c r="AS22" s="1" t="str">
        <f t="shared" si="9"/>
        <v/>
      </c>
      <c r="AT22" s="1" t="str">
        <f t="shared" ref="AT22:AY22" si="53">IF($A22="","",-1)</f>
        <v/>
      </c>
      <c r="AU22" s="1" t="str">
        <f t="shared" si="53"/>
        <v/>
      </c>
      <c r="AV22" s="1" t="str">
        <f t="shared" si="53"/>
        <v/>
      </c>
      <c r="AW22" s="1" t="str">
        <f t="shared" si="53"/>
        <v/>
      </c>
      <c r="AX22" s="1" t="str">
        <f t="shared" si="53"/>
        <v/>
      </c>
      <c r="AY22" s="1" t="str">
        <f t="shared" si="53"/>
        <v/>
      </c>
    </row>
    <row r="23" spans="1:51">
      <c r="A23" t="str">
        <f>发布任务!A23</f>
        <v/>
      </c>
      <c r="B23" t="str">
        <f>IF(发布任务!B23="","",发布任务!B23)</f>
        <v/>
      </c>
      <c r="C23" t="str">
        <f t="shared" si="11"/>
        <v/>
      </c>
      <c r="D23" t="str">
        <f t="shared" si="12"/>
        <v/>
      </c>
      <c r="E23" t="str">
        <f>IF(发布任务!J23=0,"",发布任务!J23)</f>
        <v/>
      </c>
      <c r="F23" t="str">
        <f t="shared" si="13"/>
        <v/>
      </c>
      <c r="G23" t="str">
        <f>IF(发布任务!L23=0,"",发布任务!L23)</f>
        <v/>
      </c>
      <c r="H23" t="str">
        <f t="shared" si="2"/>
        <v/>
      </c>
      <c r="I23" t="str">
        <f t="shared" si="14"/>
        <v/>
      </c>
      <c r="J23" t="str">
        <f t="shared" si="15"/>
        <v/>
      </c>
      <c r="K23" t="str">
        <f t="shared" si="16"/>
        <v/>
      </c>
      <c r="L23" t="str">
        <f>IF(发布任务!R23=0,"",发布任务!R23)</f>
        <v/>
      </c>
      <c r="M23" t="str">
        <f t="shared" si="17"/>
        <v/>
      </c>
      <c r="N23" t="str">
        <f t="shared" si="18"/>
        <v/>
      </c>
      <c r="O23" t="str">
        <f t="shared" si="19"/>
        <v/>
      </c>
      <c r="P23" t="str">
        <f t="shared" si="20"/>
        <v/>
      </c>
      <c r="Q23" t="str">
        <f t="shared" si="21"/>
        <v/>
      </c>
      <c r="R23" t="str">
        <f t="shared" si="22"/>
        <v/>
      </c>
      <c r="S23" t="str">
        <f t="shared" si="23"/>
        <v/>
      </c>
      <c r="T23" t="str">
        <f t="shared" si="24"/>
        <v/>
      </c>
      <c r="U23" t="str">
        <f t="shared" si="25"/>
        <v/>
      </c>
      <c r="V23" t="str">
        <f t="shared" si="26"/>
        <v/>
      </c>
      <c r="W23" t="str">
        <f t="shared" si="27"/>
        <v/>
      </c>
      <c r="X23" t="str">
        <f t="shared" si="28"/>
        <v/>
      </c>
      <c r="Y23" t="str">
        <f t="shared" si="29"/>
        <v/>
      </c>
      <c r="Z23" t="str">
        <f t="shared" si="30"/>
        <v/>
      </c>
      <c r="AA23" t="str">
        <f t="shared" si="31"/>
        <v/>
      </c>
      <c r="AB23" t="str">
        <f t="shared" si="32"/>
        <v/>
      </c>
      <c r="AC23" t="str">
        <f t="shared" si="33"/>
        <v/>
      </c>
      <c r="AD23" t="str">
        <f t="shared" si="34"/>
        <v/>
      </c>
      <c r="AE23" t="str">
        <f t="shared" si="35"/>
        <v/>
      </c>
      <c r="AF23" t="str">
        <f t="shared" si="36"/>
        <v/>
      </c>
      <c r="AG23" s="1" t="str">
        <f>发布任务!N23</f>
        <v/>
      </c>
      <c r="AH23" s="1" t="str">
        <f t="shared" si="4"/>
        <v/>
      </c>
      <c r="AI23" s="1" t="str">
        <f t="shared" si="5"/>
        <v/>
      </c>
      <c r="AJ23" s="1" t="str">
        <f>发布任务!P23</f>
        <v/>
      </c>
      <c r="AK23" s="1" t="str">
        <f t="shared" si="37"/>
        <v/>
      </c>
      <c r="AN23" s="1" t="str">
        <f t="shared" si="6"/>
        <v/>
      </c>
      <c r="AO23" s="1" t="str">
        <f>发布任务!W23</f>
        <v/>
      </c>
      <c r="AP23" s="1" t="str">
        <f>发布任务!U23</f>
        <v/>
      </c>
      <c r="AQ23" s="1" t="str">
        <f t="shared" si="7"/>
        <v/>
      </c>
      <c r="AR23" s="1" t="str">
        <f t="shared" si="8"/>
        <v/>
      </c>
      <c r="AS23" s="1" t="str">
        <f t="shared" si="9"/>
        <v/>
      </c>
      <c r="AT23" s="1" t="str">
        <f t="shared" ref="AT23:AY23" si="54">IF($A23="","",-1)</f>
        <v/>
      </c>
      <c r="AU23" s="1" t="str">
        <f t="shared" si="54"/>
        <v/>
      </c>
      <c r="AV23" s="1" t="str">
        <f t="shared" si="54"/>
        <v/>
      </c>
      <c r="AW23" s="1" t="str">
        <f t="shared" si="54"/>
        <v/>
      </c>
      <c r="AX23" s="1" t="str">
        <f t="shared" si="54"/>
        <v/>
      </c>
      <c r="AY23" s="1" t="str">
        <f t="shared" si="54"/>
        <v/>
      </c>
    </row>
    <row r="24" spans="1:51">
      <c r="A24" t="str">
        <f>发布任务!A24</f>
        <v/>
      </c>
      <c r="B24" t="str">
        <f>IF(发布任务!B24="","",发布任务!B24)</f>
        <v/>
      </c>
      <c r="C24" t="str">
        <f t="shared" si="11"/>
        <v/>
      </c>
      <c r="D24" t="str">
        <f t="shared" si="12"/>
        <v/>
      </c>
      <c r="E24" t="str">
        <f>IF(发布任务!J24=0,"",发布任务!J24)</f>
        <v/>
      </c>
      <c r="F24" t="str">
        <f t="shared" si="13"/>
        <v/>
      </c>
      <c r="G24" t="str">
        <f>IF(发布任务!L24=0,"",发布任务!L24)</f>
        <v/>
      </c>
      <c r="H24" t="str">
        <f t="shared" si="2"/>
        <v/>
      </c>
      <c r="I24" t="str">
        <f t="shared" si="14"/>
        <v/>
      </c>
      <c r="J24" t="str">
        <f t="shared" si="15"/>
        <v/>
      </c>
      <c r="K24" t="str">
        <f t="shared" si="16"/>
        <v/>
      </c>
      <c r="L24" t="str">
        <f>IF(发布任务!R24=0,"",发布任务!R24)</f>
        <v/>
      </c>
      <c r="M24" t="str">
        <f t="shared" si="17"/>
        <v/>
      </c>
      <c r="N24" t="str">
        <f t="shared" si="18"/>
        <v/>
      </c>
      <c r="O24" t="str">
        <f t="shared" si="19"/>
        <v/>
      </c>
      <c r="P24" t="str">
        <f t="shared" si="20"/>
        <v/>
      </c>
      <c r="Q24" t="str">
        <f t="shared" si="21"/>
        <v/>
      </c>
      <c r="R24" t="str">
        <f t="shared" si="22"/>
        <v/>
      </c>
      <c r="S24" t="str">
        <f t="shared" si="23"/>
        <v/>
      </c>
      <c r="T24" t="str">
        <f t="shared" si="24"/>
        <v/>
      </c>
      <c r="U24" t="str">
        <f t="shared" si="25"/>
        <v/>
      </c>
      <c r="V24" t="str">
        <f t="shared" si="26"/>
        <v/>
      </c>
      <c r="W24" t="str">
        <f t="shared" si="27"/>
        <v/>
      </c>
      <c r="X24" t="str">
        <f t="shared" si="28"/>
        <v/>
      </c>
      <c r="Y24" t="str">
        <f t="shared" si="29"/>
        <v/>
      </c>
      <c r="Z24" t="str">
        <f t="shared" si="30"/>
        <v/>
      </c>
      <c r="AA24" t="str">
        <f t="shared" si="31"/>
        <v/>
      </c>
      <c r="AB24" t="str">
        <f t="shared" si="32"/>
        <v/>
      </c>
      <c r="AC24" t="str">
        <f t="shared" si="33"/>
        <v/>
      </c>
      <c r="AD24" t="str">
        <f t="shared" si="34"/>
        <v/>
      </c>
      <c r="AE24" t="str">
        <f t="shared" si="35"/>
        <v/>
      </c>
      <c r="AF24" t="str">
        <f t="shared" si="36"/>
        <v/>
      </c>
      <c r="AG24" s="1" t="str">
        <f>发布任务!N24</f>
        <v/>
      </c>
      <c r="AH24" s="1" t="str">
        <f t="shared" si="4"/>
        <v/>
      </c>
      <c r="AI24" s="1" t="str">
        <f t="shared" si="5"/>
        <v/>
      </c>
      <c r="AJ24" s="1" t="str">
        <f>发布任务!P24</f>
        <v/>
      </c>
      <c r="AK24" s="1" t="str">
        <f t="shared" si="37"/>
        <v/>
      </c>
      <c r="AN24" s="1" t="str">
        <f t="shared" si="6"/>
        <v/>
      </c>
      <c r="AO24" s="1" t="str">
        <f>发布任务!W24</f>
        <v/>
      </c>
      <c r="AP24" s="1" t="str">
        <f>发布任务!U24</f>
        <v/>
      </c>
      <c r="AQ24" s="1" t="str">
        <f t="shared" si="7"/>
        <v/>
      </c>
      <c r="AR24" s="1" t="str">
        <f t="shared" si="8"/>
        <v/>
      </c>
      <c r="AS24" s="1" t="str">
        <f t="shared" si="9"/>
        <v/>
      </c>
      <c r="AT24" s="1" t="str">
        <f t="shared" ref="AT24:AY24" si="55">IF($A24="","",-1)</f>
        <v/>
      </c>
      <c r="AU24" s="1" t="str">
        <f t="shared" si="55"/>
        <v/>
      </c>
      <c r="AV24" s="1" t="str">
        <f t="shared" si="55"/>
        <v/>
      </c>
      <c r="AW24" s="1" t="str">
        <f t="shared" si="55"/>
        <v/>
      </c>
      <c r="AX24" s="1" t="str">
        <f t="shared" si="55"/>
        <v/>
      </c>
      <c r="AY24" s="1" t="str">
        <f t="shared" si="55"/>
        <v/>
      </c>
    </row>
  </sheetData>
  <pageMargins left="0.7" right="0.7" top="0.75" bottom="0.75" header="0.3" footer="0.3"/>
  <pageSetup paperSize="9" orientation="portrait"/>
  <headerFooter/>
  <ignoredErrors>
    <ignoredError sqref="L5 L8:L24 L6 AR5:AR24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00"/>
  <sheetViews>
    <sheetView workbookViewId="0">
      <selection activeCell="E6" sqref="E6"/>
    </sheetView>
  </sheetViews>
  <sheetFormatPr defaultColWidth="9" defaultRowHeight="13.5"/>
  <cols>
    <col min="2" max="2" width="22.625" customWidth="1"/>
    <col min="7" max="7" width="11.5" customWidth="1"/>
    <col min="9" max="9" width="9" customWidth="1"/>
  </cols>
  <sheetData>
    <row r="1" spans="1:13">
      <c r="A1" s="1" t="s">
        <v>123</v>
      </c>
      <c r="B1" s="1" t="s">
        <v>124</v>
      </c>
      <c r="C1" s="1" t="s">
        <v>328</v>
      </c>
      <c r="D1" s="1" t="s">
        <v>329</v>
      </c>
      <c r="E1" s="1" t="s">
        <v>330</v>
      </c>
      <c r="F1" s="1" t="s">
        <v>331</v>
      </c>
      <c r="G1" s="1" t="s">
        <v>332</v>
      </c>
      <c r="H1" s="1" t="s">
        <v>333</v>
      </c>
      <c r="I1" s="1" t="s">
        <v>334</v>
      </c>
      <c r="J1" s="1" t="s">
        <v>335</v>
      </c>
      <c r="K1" s="1" t="s">
        <v>126</v>
      </c>
      <c r="L1" s="1" t="s">
        <v>336</v>
      </c>
      <c r="M1" s="1" t="s">
        <v>337</v>
      </c>
    </row>
    <row r="2" spans="1:13">
      <c r="A2" s="1" t="s">
        <v>153</v>
      </c>
      <c r="B2" s="1" t="s">
        <v>154</v>
      </c>
      <c r="C2" s="1" t="s">
        <v>153</v>
      </c>
      <c r="D2" s="1" t="s">
        <v>153</v>
      </c>
      <c r="E2" s="1" t="s">
        <v>153</v>
      </c>
      <c r="F2" s="1" t="s">
        <v>153</v>
      </c>
      <c r="G2" s="1" t="s">
        <v>154</v>
      </c>
      <c r="H2" s="1" t="s">
        <v>153</v>
      </c>
      <c r="I2" s="1" t="s">
        <v>155</v>
      </c>
      <c r="J2" s="1" t="s">
        <v>153</v>
      </c>
      <c r="K2" s="1" t="s">
        <v>153</v>
      </c>
      <c r="L2" s="1" t="s">
        <v>153</v>
      </c>
      <c r="M2" s="1" t="s">
        <v>153</v>
      </c>
    </row>
    <row r="3" spans="1:13">
      <c r="A3" s="1" t="s">
        <v>338</v>
      </c>
      <c r="B3" s="1" t="s">
        <v>339</v>
      </c>
      <c r="C3" s="1" t="s">
        <v>340</v>
      </c>
      <c r="D3" s="1" t="s">
        <v>341</v>
      </c>
      <c r="E3" s="1" t="s">
        <v>342</v>
      </c>
      <c r="F3" s="1" t="s">
        <v>343</v>
      </c>
      <c r="G3" s="1" t="s">
        <v>344</v>
      </c>
      <c r="H3" s="1" t="s">
        <v>345</v>
      </c>
      <c r="I3" s="1" t="s">
        <v>346</v>
      </c>
      <c r="J3" s="1" t="s">
        <v>347</v>
      </c>
      <c r="K3" s="1" t="s">
        <v>348</v>
      </c>
      <c r="L3" s="1" t="s">
        <v>349</v>
      </c>
      <c r="M3" s="1" t="s">
        <v>350</v>
      </c>
    </row>
    <row r="4" spans="1:13">
      <c r="A4">
        <f>IF(编写对白!$A3="","",编写对白!$A3)</f>
        <v>812410</v>
      </c>
      <c r="B4" t="str">
        <f>IF(编写对白!$B3="","",编写对白!$B3)</f>
        <v>初始军衔-接取任务</v>
      </c>
      <c r="C4" s="5">
        <f>IF($A4="","",$A4/10)</f>
        <v>81241</v>
      </c>
      <c r="D4">
        <f>IF(编写对白!$F3="","",编写对白!$F3)</f>
        <v>1</v>
      </c>
      <c r="E4">
        <f>IF(编写对白!D3&lt;0,1,IF(编写对白!$D3="","",0))</f>
        <v>0</v>
      </c>
      <c r="F4">
        <f>IF(编写对白!$D3="","",编写对白!$D3)</f>
        <v>123</v>
      </c>
      <c r="G4" t="str">
        <f>IF(编写对白!$G3="","",编写对白!$G3)</f>
        <v>大家佛为建瓯附件为，发呢欧文金佛微积分哦，附件欧文金佛我</v>
      </c>
      <c r="H4">
        <f>IF($A4="","",1)</f>
        <v>1</v>
      </c>
      <c r="I4">
        <f>IF($G4="","",ROUNDUP(LEN($G4)/3+1,0))</f>
        <v>11</v>
      </c>
      <c r="J4">
        <f>IF($A4="","",1)</f>
        <v>1</v>
      </c>
      <c r="K4">
        <f>IF($A4="","",-1)</f>
        <v>-1</v>
      </c>
      <c r="L4">
        <f>IF($A4="","",-1)</f>
        <v>-1</v>
      </c>
      <c r="M4">
        <f>IF($A4="","",-1)</f>
        <v>-1</v>
      </c>
    </row>
    <row r="5" spans="1:13">
      <c r="A5">
        <f>IF(编写对白!$A4="","",编写对白!$A4)</f>
        <v>812411</v>
      </c>
      <c r="B5" t="str">
        <f>IF(编写对白!$B4="","",编写对白!$B4)</f>
        <v>初始军衔-接取任务</v>
      </c>
      <c r="C5" s="5">
        <f t="shared" ref="C5:C36" si="0">IF($A5="","",$A5/10)</f>
        <v>81241.1</v>
      </c>
      <c r="D5">
        <f>IF(编写对白!$F4="","",编写对白!$F4)</f>
        <v>1</v>
      </c>
      <c r="E5">
        <f>IF(编写对白!D4&lt;0,1,IF(编写对白!$D4="","",0))</f>
        <v>0</v>
      </c>
      <c r="F5">
        <f>IF(编写对白!$D4="","",编写对白!$D4)</f>
        <v>1000</v>
      </c>
      <c r="G5" t="str">
        <f>IF(编写对白!$G4="","",编写对白!$G4)</f>
        <v>大家佛为建瓯附件为，发呢欧文金佛微积分哦，附件欧文金佛我</v>
      </c>
      <c r="H5">
        <f t="shared" ref="H5:H36" si="1">IF($A5="","",1)</f>
        <v>1</v>
      </c>
      <c r="I5">
        <f t="shared" ref="I5:I36" si="2">IF($G5="","",ROUNDUP(LEN($G5)/3+1,0))</f>
        <v>11</v>
      </c>
      <c r="J5">
        <f t="shared" ref="J5:J36" si="3">IF($A5="","",1)</f>
        <v>1</v>
      </c>
      <c r="K5">
        <f t="shared" ref="K5:K36" si="4">IF($A5="","",-1)</f>
        <v>-1</v>
      </c>
      <c r="L5">
        <f t="shared" ref="L5:L36" si="5">IF($A5="","",-1)</f>
        <v>-1</v>
      </c>
      <c r="M5">
        <f t="shared" ref="M5:M36" si="6">IF($A5="","",-1)</f>
        <v>-1</v>
      </c>
    </row>
    <row r="6" spans="1:13">
      <c r="A6">
        <f>IF(编写对白!$A5="","",编写对白!$A5)</f>
        <v>812412</v>
      </c>
      <c r="B6" t="str">
        <f>IF(编写对白!$B5="","",编写对白!$B5)</f>
        <v>初始军衔-接取任务</v>
      </c>
      <c r="C6" s="5">
        <f t="shared" si="0"/>
        <v>81241.2</v>
      </c>
      <c r="D6">
        <f>IF(编写对白!$F5="","",编写对白!$F5)</f>
        <v>1</v>
      </c>
      <c r="E6">
        <f>IF(编写对白!D5&lt;0,1,IF(编写对白!$D5="","",0))</f>
        <v>0</v>
      </c>
      <c r="F6">
        <f>IF(编写对白!$D5="","",编写对白!$D5)</f>
        <v>1000</v>
      </c>
      <c r="G6" t="str">
        <f>IF(编写对白!$G5="","",编写对白!$G5)</f>
        <v>大家佛为建瓯附件为，发呢欧文金佛微积分哦，附件欧文金佛我</v>
      </c>
      <c r="H6">
        <f t="shared" si="1"/>
        <v>1</v>
      </c>
      <c r="I6">
        <f t="shared" si="2"/>
        <v>11</v>
      </c>
      <c r="J6">
        <f t="shared" si="3"/>
        <v>1</v>
      </c>
      <c r="K6">
        <f t="shared" si="4"/>
        <v>-1</v>
      </c>
      <c r="L6">
        <f t="shared" si="5"/>
        <v>-1</v>
      </c>
      <c r="M6">
        <f t="shared" si="6"/>
        <v>-1</v>
      </c>
    </row>
    <row r="7" spans="1:13">
      <c r="A7">
        <f>IF(编写对白!$A6="","",编写对白!$A6)</f>
        <v>812413</v>
      </c>
      <c r="B7" t="str">
        <f>IF(编写对白!$B6="","",编写对白!$B6)</f>
        <v>初始军衔-接取任务</v>
      </c>
      <c r="C7" s="5">
        <f t="shared" si="0"/>
        <v>81241.3</v>
      </c>
      <c r="D7">
        <f>IF(编写对白!$F6="","",编写对白!$F6)</f>
        <v>1</v>
      </c>
      <c r="E7">
        <f>IF(编写对白!D6&lt;0,1,IF(编写对白!$D6="","",0))</f>
        <v>0</v>
      </c>
      <c r="F7">
        <f>IF(编写对白!$D6="","",编写对白!$D6)</f>
        <v>1000</v>
      </c>
      <c r="G7" t="str">
        <f>IF(编写对白!$G6="","",编写对白!$G6)</f>
        <v>大家佛为建瓯附件为，发呢欧文金佛微积分哦，附件欧文金佛我</v>
      </c>
      <c r="H7">
        <f t="shared" si="1"/>
        <v>1</v>
      </c>
      <c r="I7">
        <f t="shared" si="2"/>
        <v>11</v>
      </c>
      <c r="J7">
        <f t="shared" si="3"/>
        <v>1</v>
      </c>
      <c r="K7">
        <f t="shared" si="4"/>
        <v>-1</v>
      </c>
      <c r="L7">
        <f t="shared" si="5"/>
        <v>-1</v>
      </c>
      <c r="M7">
        <f t="shared" si="6"/>
        <v>-1</v>
      </c>
    </row>
    <row r="8" spans="1:13">
      <c r="A8">
        <f>IF(编写对白!$A7="","",编写对白!$A7)</f>
        <v>812414</v>
      </c>
      <c r="B8" t="str">
        <f>IF(编写对白!$B7="","",编写对白!$B7)</f>
        <v>初始军衔-接取任务</v>
      </c>
      <c r="C8" s="5">
        <f t="shared" si="0"/>
        <v>81241.4</v>
      </c>
      <c r="D8">
        <f>IF(编写对白!$F7="","",编写对白!$F7)</f>
        <v>1</v>
      </c>
      <c r="E8">
        <f>IF(编写对白!D7&lt;0,1,IF(编写对白!$D7="","",0))</f>
        <v>0</v>
      </c>
      <c r="F8">
        <f>IF(编写对白!$D7="","",编写对白!$D7)</f>
        <v>1000</v>
      </c>
      <c r="G8" t="str">
        <f>IF(编写对白!$G7="","",编写对白!$G7)</f>
        <v>大家佛为建瓯附件为，发呢欧文金佛微积分哦，附件欧文金佛我</v>
      </c>
      <c r="H8">
        <f t="shared" si="1"/>
        <v>1</v>
      </c>
      <c r="I8">
        <f t="shared" si="2"/>
        <v>11</v>
      </c>
      <c r="J8">
        <f t="shared" si="3"/>
        <v>1</v>
      </c>
      <c r="K8">
        <f t="shared" si="4"/>
        <v>-1</v>
      </c>
      <c r="L8">
        <f t="shared" si="5"/>
        <v>-1</v>
      </c>
      <c r="M8">
        <f t="shared" si="6"/>
        <v>-1</v>
      </c>
    </row>
    <row r="9" spans="1:13">
      <c r="A9">
        <f>IF(编写对白!$A8="","",编写对白!$A8)</f>
        <v>812420</v>
      </c>
      <c r="B9" t="str">
        <f>IF(编写对白!$B8="","",编写对白!$B8)</f>
        <v>初始军衔-交取任务</v>
      </c>
      <c r="C9" s="5">
        <f t="shared" si="0"/>
        <v>81242</v>
      </c>
      <c r="D9">
        <f>IF(编写对白!$F8="","",编写对白!$F8)</f>
        <v>1</v>
      </c>
      <c r="E9">
        <f>IF(编写对白!D8&lt;0,1,IF(编写对白!$D8="","",0))</f>
        <v>0</v>
      </c>
      <c r="F9">
        <f>IF(编写对白!$D8="","",编写对白!$D8)</f>
        <v>1000</v>
      </c>
      <c r="G9" t="str">
        <f>IF(编写对白!$G8="","",编写对白!$G8)</f>
        <v>大家佛为建瓯附件为，发呢欧文金佛微积分哦，附件欧文金佛我</v>
      </c>
      <c r="H9">
        <f t="shared" si="1"/>
        <v>1</v>
      </c>
      <c r="I9">
        <f t="shared" si="2"/>
        <v>11</v>
      </c>
      <c r="J9">
        <f t="shared" si="3"/>
        <v>1</v>
      </c>
      <c r="K9">
        <f t="shared" si="4"/>
        <v>-1</v>
      </c>
      <c r="L9">
        <f t="shared" si="5"/>
        <v>-1</v>
      </c>
      <c r="M9">
        <f t="shared" si="6"/>
        <v>-1</v>
      </c>
    </row>
    <row r="10" spans="1:13">
      <c r="A10">
        <f>IF(编写对白!$A9="","",编写对白!$A9)</f>
        <v>812421</v>
      </c>
      <c r="B10" t="str">
        <f>IF(编写对白!$B9="","",编写对白!$B9)</f>
        <v>初始军衔-交取任务</v>
      </c>
      <c r="C10" s="5">
        <f t="shared" si="0"/>
        <v>81242.1</v>
      </c>
      <c r="D10">
        <f>IF(编写对白!$F9="","",编写对白!$F9)</f>
        <v>1</v>
      </c>
      <c r="E10">
        <f>IF(编写对白!D9&lt;0,1,IF(编写对白!$D9="","",0))</f>
        <v>0</v>
      </c>
      <c r="F10">
        <f>IF(编写对白!$D9="","",编写对白!$D9)</f>
        <v>1000</v>
      </c>
      <c r="G10" t="str">
        <f>IF(编写对白!$G9="","",编写对白!$G9)</f>
        <v>大家佛为建瓯附件为，发呢欧文金佛微积分哦，附件欧文金佛我</v>
      </c>
      <c r="H10">
        <f t="shared" si="1"/>
        <v>1</v>
      </c>
      <c r="I10">
        <f t="shared" si="2"/>
        <v>11</v>
      </c>
      <c r="J10">
        <f t="shared" si="3"/>
        <v>1</v>
      </c>
      <c r="K10">
        <f t="shared" si="4"/>
        <v>-1</v>
      </c>
      <c r="L10">
        <f t="shared" si="5"/>
        <v>-1</v>
      </c>
      <c r="M10">
        <f t="shared" si="6"/>
        <v>-1</v>
      </c>
    </row>
    <row r="11" spans="1:13">
      <c r="A11">
        <f>IF(编写对白!$A10="","",编写对白!$A10)</f>
        <v>812422</v>
      </c>
      <c r="B11" t="str">
        <f>IF(编写对白!$B10="","",编写对白!$B10)</f>
        <v>初始军衔-交取任务</v>
      </c>
      <c r="C11" s="5">
        <f t="shared" si="0"/>
        <v>81242.2</v>
      </c>
      <c r="D11">
        <f>IF(编写对白!$F10="","",编写对白!$F10)</f>
        <v>1</v>
      </c>
      <c r="E11">
        <f>IF(编写对白!D10&lt;0,1,IF(编写对白!$D10="","",0))</f>
        <v>0</v>
      </c>
      <c r="F11">
        <f>IF(编写对白!$D10="","",编写对白!$D10)</f>
        <v>1000</v>
      </c>
      <c r="G11" t="str">
        <f>IF(编写对白!$G10="","",编写对白!$G10)</f>
        <v>大家佛为建瓯附件为，发呢欧文金佛微积分哦，附件欧文金佛我</v>
      </c>
      <c r="H11">
        <f t="shared" si="1"/>
        <v>1</v>
      </c>
      <c r="I11">
        <f t="shared" si="2"/>
        <v>11</v>
      </c>
      <c r="J11">
        <f t="shared" si="3"/>
        <v>1</v>
      </c>
      <c r="K11">
        <f t="shared" si="4"/>
        <v>-1</v>
      </c>
      <c r="L11">
        <f t="shared" si="5"/>
        <v>-1</v>
      </c>
      <c r="M11">
        <f t="shared" si="6"/>
        <v>-1</v>
      </c>
    </row>
    <row r="12" spans="1:13">
      <c r="A12">
        <f>IF(编写对白!$A11="","",编写对白!$A11)</f>
        <v>812430</v>
      </c>
      <c r="B12" t="str">
        <f>IF(编写对白!$B11="","",编写对白!$B11)</f>
        <v>初始军衔-再次接取任务</v>
      </c>
      <c r="C12" s="5">
        <f t="shared" si="0"/>
        <v>81243</v>
      </c>
      <c r="D12">
        <f>IF(编写对白!$F11="","",编写对白!$F11)</f>
        <v>1</v>
      </c>
      <c r="E12">
        <f>IF(编写对白!D11&lt;0,1,IF(编写对白!$D11="","",0))</f>
        <v>0</v>
      </c>
      <c r="F12">
        <f>IF(编写对白!$D11="","",编写对白!$D11)</f>
        <v>1000</v>
      </c>
      <c r="G12" t="str">
        <f>IF(编写对白!$G11="","",编写对白!$G11)</f>
        <v>大家佛为建瓯附件为，发呢欧文金佛微积分哦，附件欧文金佛我</v>
      </c>
      <c r="H12">
        <f t="shared" si="1"/>
        <v>1</v>
      </c>
      <c r="I12">
        <f t="shared" si="2"/>
        <v>11</v>
      </c>
      <c r="J12">
        <f t="shared" si="3"/>
        <v>1</v>
      </c>
      <c r="K12">
        <f t="shared" si="4"/>
        <v>-1</v>
      </c>
      <c r="L12">
        <f t="shared" si="5"/>
        <v>-1</v>
      </c>
      <c r="M12">
        <f t="shared" si="6"/>
        <v>-1</v>
      </c>
    </row>
    <row r="13" spans="1:13">
      <c r="A13">
        <f>IF(编写对白!$A12="","",编写对白!$A12)</f>
        <v>812431</v>
      </c>
      <c r="B13" t="str">
        <f>IF(编写对白!$B12="","",编写对白!$B12)</f>
        <v>初始军衔-再次接取任务</v>
      </c>
      <c r="C13" s="5">
        <f t="shared" si="0"/>
        <v>81243.1</v>
      </c>
      <c r="D13">
        <f>IF(编写对白!$F12="","",编写对白!$F12)</f>
        <v>1</v>
      </c>
      <c r="E13">
        <f>IF(编写对白!D12&lt;0,1,IF(编写对白!$D12="","",0))</f>
        <v>0</v>
      </c>
      <c r="F13">
        <f>IF(编写对白!$D12="","",编写对白!$D12)</f>
        <v>1000</v>
      </c>
      <c r="G13" t="str">
        <f>IF(编写对白!$G12="","",编写对白!$G12)</f>
        <v>大家佛为建瓯附件为，发呢欧文金佛微积分哦，附件欧文金佛我</v>
      </c>
      <c r="H13">
        <f t="shared" si="1"/>
        <v>1</v>
      </c>
      <c r="I13">
        <f t="shared" si="2"/>
        <v>11</v>
      </c>
      <c r="J13">
        <f t="shared" si="3"/>
        <v>1</v>
      </c>
      <c r="K13">
        <f t="shared" si="4"/>
        <v>-1</v>
      </c>
      <c r="L13">
        <f t="shared" si="5"/>
        <v>-1</v>
      </c>
      <c r="M13">
        <f t="shared" si="6"/>
        <v>-1</v>
      </c>
    </row>
    <row r="14" spans="1:13">
      <c r="A14">
        <f>IF(编写对白!$A13="","",编写对白!$A13)</f>
        <v>812432</v>
      </c>
      <c r="B14" t="str">
        <f>IF(编写对白!$B13="","",编写对白!$B13)</f>
        <v>初始军衔-再次接取任务</v>
      </c>
      <c r="C14" s="5">
        <f t="shared" si="0"/>
        <v>81243.2</v>
      </c>
      <c r="D14">
        <f>IF(编写对白!$F13="","",编写对白!$F13)</f>
        <v>1</v>
      </c>
      <c r="E14">
        <f>IF(编写对白!D13&lt;0,1,IF(编写对白!$D13="","",0))</f>
        <v>0</v>
      </c>
      <c r="F14">
        <f>IF(编写对白!$D13="","",编写对白!$D13)</f>
        <v>1000</v>
      </c>
      <c r="G14" t="str">
        <f>IF(编写对白!$G13="","",编写对白!$G13)</f>
        <v>大家佛为建瓯附件为，发呢欧文金佛微积分哦，附件欧文金佛我</v>
      </c>
      <c r="H14">
        <f t="shared" si="1"/>
        <v>1</v>
      </c>
      <c r="I14">
        <f t="shared" si="2"/>
        <v>11</v>
      </c>
      <c r="J14">
        <f t="shared" si="3"/>
        <v>1</v>
      </c>
      <c r="K14">
        <f t="shared" si="4"/>
        <v>-1</v>
      </c>
      <c r="L14">
        <f t="shared" si="5"/>
        <v>-1</v>
      </c>
      <c r="M14">
        <f t="shared" si="6"/>
        <v>-1</v>
      </c>
    </row>
    <row r="15" spans="1:13">
      <c r="A15">
        <f>IF(编写对白!$A14="","",编写对白!$A14)</f>
        <v>812433</v>
      </c>
      <c r="B15" t="str">
        <f>IF(编写对白!$B14="","",编写对白!$B14)</f>
        <v>初始军衔-再次接取任务</v>
      </c>
      <c r="C15" s="5">
        <f t="shared" si="0"/>
        <v>81243.3</v>
      </c>
      <c r="D15">
        <f>IF(编写对白!$F14="","",编写对白!$F14)</f>
        <v>1</v>
      </c>
      <c r="E15">
        <f>IF(编写对白!D14&lt;0,1,IF(编写对白!$D14="","",0))</f>
        <v>0</v>
      </c>
      <c r="F15">
        <f>IF(编写对白!$D14="","",编写对白!$D14)</f>
        <v>1000</v>
      </c>
      <c r="G15" t="str">
        <f>IF(编写对白!$G14="","",编写对白!$G14)</f>
        <v>大家佛为建瓯附件为，发呢欧文金佛微积分哦，附件欧文金佛我</v>
      </c>
      <c r="H15">
        <f t="shared" si="1"/>
        <v>1</v>
      </c>
      <c r="I15">
        <f t="shared" si="2"/>
        <v>11</v>
      </c>
      <c r="J15">
        <f t="shared" si="3"/>
        <v>1</v>
      </c>
      <c r="K15">
        <f t="shared" si="4"/>
        <v>-1</v>
      </c>
      <c r="L15">
        <f t="shared" si="5"/>
        <v>-1</v>
      </c>
      <c r="M15">
        <f t="shared" si="6"/>
        <v>-1</v>
      </c>
    </row>
    <row r="16" spans="1:13">
      <c r="A16">
        <f>IF(编写对白!$A15="","",编写对白!$A15)</f>
        <v>812434</v>
      </c>
      <c r="B16" t="str">
        <f>IF(编写对白!$B15="","",编写对白!$B15)</f>
        <v>初始军衔-再次接取任务</v>
      </c>
      <c r="C16" s="5">
        <f t="shared" si="0"/>
        <v>81243.4</v>
      </c>
      <c r="D16">
        <f>IF(编写对白!$F15="","",编写对白!$F15)</f>
        <v>1</v>
      </c>
      <c r="E16">
        <f>IF(编写对白!D15&lt;0,1,IF(编写对白!$D15="","",0))</f>
        <v>0</v>
      </c>
      <c r="F16">
        <f>IF(编写对白!$D15="","",编写对白!$D15)</f>
        <v>1000</v>
      </c>
      <c r="G16" t="str">
        <f>IF(编写对白!$G15="","",编写对白!$G15)</f>
        <v>大家佛为建瓯附件为，发呢欧文金佛微积分哦，附件欧文金佛我</v>
      </c>
      <c r="H16">
        <f t="shared" si="1"/>
        <v>1</v>
      </c>
      <c r="I16">
        <f t="shared" si="2"/>
        <v>11</v>
      </c>
      <c r="J16">
        <f t="shared" si="3"/>
        <v>1</v>
      </c>
      <c r="K16">
        <f t="shared" si="4"/>
        <v>-1</v>
      </c>
      <c r="L16">
        <f t="shared" si="5"/>
        <v>-1</v>
      </c>
      <c r="M16">
        <f t="shared" si="6"/>
        <v>-1</v>
      </c>
    </row>
    <row r="17" spans="1:13">
      <c r="A17">
        <f>IF(编写对白!$A16="","",编写对白!$A16)</f>
        <v>812510</v>
      </c>
      <c r="B17" t="str">
        <f>IF(编写对白!$B16="","",编写对白!$B16)</f>
        <v>初始军衔-接取任务</v>
      </c>
      <c r="C17" s="5">
        <f t="shared" si="0"/>
        <v>81251</v>
      </c>
      <c r="D17">
        <f>IF(编写对白!$F16="","",编写对白!$F16)</f>
        <v>1</v>
      </c>
      <c r="E17">
        <f>IF(编写对白!D16&lt;0,1,IF(编写对白!$D16="","",0))</f>
        <v>0</v>
      </c>
      <c r="F17">
        <f>IF(编写对白!$D16="","",编写对白!$D16)</f>
        <v>1000</v>
      </c>
      <c r="G17" t="str">
        <f>IF(编写对白!$G16="","",编写对白!$G16)</f>
        <v>大家佛为建瓯附件为，发呢欧文金佛微积分哦，附件欧文金佛我</v>
      </c>
      <c r="H17">
        <f t="shared" si="1"/>
        <v>1</v>
      </c>
      <c r="I17">
        <f t="shared" si="2"/>
        <v>11</v>
      </c>
      <c r="J17">
        <f t="shared" si="3"/>
        <v>1</v>
      </c>
      <c r="K17">
        <f t="shared" si="4"/>
        <v>-1</v>
      </c>
      <c r="L17">
        <f t="shared" si="5"/>
        <v>-1</v>
      </c>
      <c r="M17">
        <f t="shared" si="6"/>
        <v>-1</v>
      </c>
    </row>
    <row r="18" spans="1:13">
      <c r="A18">
        <f>IF(编写对白!$A17="","",编写对白!$A17)</f>
        <v>812511</v>
      </c>
      <c r="B18" t="str">
        <f>IF(编写对白!$B17="","",编写对白!$B17)</f>
        <v>初始军衔-接取任务</v>
      </c>
      <c r="C18" s="5">
        <f t="shared" si="0"/>
        <v>81251.1</v>
      </c>
      <c r="D18">
        <f>IF(编写对白!$F17="","",编写对白!$F17)</f>
        <v>1</v>
      </c>
      <c r="E18">
        <f>IF(编写对白!D17&lt;0,1,IF(编写对白!$D17="","",0))</f>
        <v>0</v>
      </c>
      <c r="F18">
        <f>IF(编写对白!$D17="","",编写对白!$D17)</f>
        <v>1000</v>
      </c>
      <c r="G18" t="str">
        <f>IF(编写对白!$G17="","",编写对白!$G17)</f>
        <v>大家佛为建瓯附件为，发呢欧文金佛微积分哦，附件欧文金佛我</v>
      </c>
      <c r="H18">
        <f t="shared" si="1"/>
        <v>1</v>
      </c>
      <c r="I18">
        <f t="shared" si="2"/>
        <v>11</v>
      </c>
      <c r="J18">
        <f t="shared" si="3"/>
        <v>1</v>
      </c>
      <c r="K18">
        <f t="shared" si="4"/>
        <v>-1</v>
      </c>
      <c r="L18">
        <f t="shared" si="5"/>
        <v>-1</v>
      </c>
      <c r="M18">
        <f t="shared" si="6"/>
        <v>-1</v>
      </c>
    </row>
    <row r="19" spans="1:13">
      <c r="A19">
        <f>IF(编写对白!$A18="","",编写对白!$A18)</f>
        <v>812512</v>
      </c>
      <c r="B19" t="str">
        <f>IF(编写对白!$B18="","",编写对白!$B18)</f>
        <v>初始军衔-接取任务</v>
      </c>
      <c r="C19" s="5">
        <f t="shared" si="0"/>
        <v>81251.2</v>
      </c>
      <c r="D19">
        <f>IF(编写对白!$F18="","",编写对白!$F18)</f>
        <v>1</v>
      </c>
      <c r="E19">
        <f>IF(编写对白!D18&lt;0,1,IF(编写对白!$D18="","",0))</f>
        <v>0</v>
      </c>
      <c r="F19">
        <f>IF(编写对白!$D18="","",编写对白!$D18)</f>
        <v>1000</v>
      </c>
      <c r="G19" t="str">
        <f>IF(编写对白!$G18="","",编写对白!$G18)</f>
        <v>大家佛为建瓯附件为，发呢欧文金佛微积分哦，附件欧文金佛我</v>
      </c>
      <c r="H19">
        <f t="shared" si="1"/>
        <v>1</v>
      </c>
      <c r="I19">
        <f t="shared" si="2"/>
        <v>11</v>
      </c>
      <c r="J19">
        <f t="shared" si="3"/>
        <v>1</v>
      </c>
      <c r="K19">
        <f t="shared" si="4"/>
        <v>-1</v>
      </c>
      <c r="L19">
        <f t="shared" si="5"/>
        <v>-1</v>
      </c>
      <c r="M19">
        <f t="shared" si="6"/>
        <v>-1</v>
      </c>
    </row>
    <row r="20" spans="1:13">
      <c r="A20">
        <f>IF(编写对白!$A19="","",编写对白!$A19)</f>
        <v>812513</v>
      </c>
      <c r="B20" t="str">
        <f>IF(编写对白!$B19="","",编写对白!$B19)</f>
        <v>初始军衔-接取任务</v>
      </c>
      <c r="C20" s="5">
        <f t="shared" si="0"/>
        <v>81251.3</v>
      </c>
      <c r="D20">
        <f>IF(编写对白!$F19="","",编写对白!$F19)</f>
        <v>1</v>
      </c>
      <c r="E20">
        <f>IF(编写对白!D19&lt;0,1,IF(编写对白!$D19="","",0))</f>
        <v>0</v>
      </c>
      <c r="F20">
        <f>IF(编写对白!$D19="","",编写对白!$D19)</f>
        <v>1000</v>
      </c>
      <c r="G20" t="str">
        <f>IF(编写对白!$G19="","",编写对白!$G19)</f>
        <v>大家佛为建瓯附件为，发呢欧文金佛微积分哦，附件欧文金佛我</v>
      </c>
      <c r="H20">
        <f t="shared" si="1"/>
        <v>1</v>
      </c>
      <c r="I20">
        <f t="shared" si="2"/>
        <v>11</v>
      </c>
      <c r="J20">
        <f t="shared" si="3"/>
        <v>1</v>
      </c>
      <c r="K20">
        <f t="shared" si="4"/>
        <v>-1</v>
      </c>
      <c r="L20">
        <f t="shared" si="5"/>
        <v>-1</v>
      </c>
      <c r="M20">
        <f t="shared" si="6"/>
        <v>-1</v>
      </c>
    </row>
    <row r="21" spans="1:13">
      <c r="A21">
        <f>IF(编写对白!$A20="","",编写对白!$A20)</f>
        <v>812514</v>
      </c>
      <c r="B21" t="str">
        <f>IF(编写对白!$B20="","",编写对白!$B20)</f>
        <v>初始军衔-接取任务</v>
      </c>
      <c r="C21" s="5">
        <f t="shared" si="0"/>
        <v>81251.4</v>
      </c>
      <c r="D21">
        <f>IF(编写对白!$F20="","",编写对白!$F20)</f>
        <v>1</v>
      </c>
      <c r="E21">
        <f>IF(编写对白!D20&lt;0,1,IF(编写对白!$D20="","",0))</f>
        <v>0</v>
      </c>
      <c r="F21">
        <f>IF(编写对白!$D20="","",编写对白!$D20)</f>
        <v>1000</v>
      </c>
      <c r="G21" t="str">
        <f>IF(编写对白!$G20="","",编写对白!$G20)</f>
        <v>大家佛为建瓯附件为，发呢欧文金佛微积分哦，附件欧文金佛我</v>
      </c>
      <c r="H21">
        <f t="shared" si="1"/>
        <v>1</v>
      </c>
      <c r="I21">
        <f t="shared" si="2"/>
        <v>11</v>
      </c>
      <c r="J21">
        <f t="shared" si="3"/>
        <v>1</v>
      </c>
      <c r="K21">
        <f t="shared" si="4"/>
        <v>-1</v>
      </c>
      <c r="L21">
        <f t="shared" si="5"/>
        <v>-1</v>
      </c>
      <c r="M21">
        <f t="shared" si="6"/>
        <v>-1</v>
      </c>
    </row>
    <row r="22" spans="1:13">
      <c r="A22">
        <f>IF(编写对白!$A21="","",编写对白!$A21)</f>
        <v>812515</v>
      </c>
      <c r="B22" t="str">
        <f>IF(编写对白!$B21="","",编写对白!$B21)</f>
        <v>初始军衔-接取任务</v>
      </c>
      <c r="C22" s="5">
        <f t="shared" si="0"/>
        <v>81251.5</v>
      </c>
      <c r="D22">
        <f>IF(编写对白!$F21="","",编写对白!$F21)</f>
        <v>1</v>
      </c>
      <c r="E22">
        <f>IF(编写对白!D21&lt;0,1,IF(编写对白!$D21="","",0))</f>
        <v>0</v>
      </c>
      <c r="F22">
        <f>IF(编写对白!$D21="","",编写对白!$D21)</f>
        <v>1000</v>
      </c>
      <c r="G22" t="str">
        <f>IF(编写对白!$G21="","",编写对白!$G21)</f>
        <v>大家佛为建瓯附件为，发呢欧文金佛微积分哦，附件欧文金佛我</v>
      </c>
      <c r="H22">
        <f t="shared" si="1"/>
        <v>1</v>
      </c>
      <c r="I22">
        <f t="shared" si="2"/>
        <v>11</v>
      </c>
      <c r="J22">
        <f t="shared" si="3"/>
        <v>1</v>
      </c>
      <c r="K22">
        <f t="shared" si="4"/>
        <v>-1</v>
      </c>
      <c r="L22">
        <f t="shared" si="5"/>
        <v>-1</v>
      </c>
      <c r="M22">
        <f t="shared" si="6"/>
        <v>-1</v>
      </c>
    </row>
    <row r="23" spans="1:13">
      <c r="A23">
        <f>IF(编写对白!$A22="","",编写对白!$A22)</f>
        <v>812520</v>
      </c>
      <c r="B23" t="str">
        <f>IF(编写对白!$B22="","",编写对白!$B22)</f>
        <v>初始军衔-交取任务</v>
      </c>
      <c r="C23" s="5">
        <f t="shared" si="0"/>
        <v>81252</v>
      </c>
      <c r="D23">
        <f>IF(编写对白!$F22="","",编写对白!$F22)</f>
        <v>1</v>
      </c>
      <c r="E23">
        <f>IF(编写对白!D22&lt;0,1,IF(编写对白!$D22="","",0))</f>
        <v>0</v>
      </c>
      <c r="F23">
        <f>IF(编写对白!$D22="","",编写对白!$D22)</f>
        <v>1000</v>
      </c>
      <c r="G23" t="str">
        <f>IF(编写对白!$G22="","",编写对白!$G22)</f>
        <v>大家佛为建瓯附件为，发呢欧文金佛微积分哦，附件欧文金佛我</v>
      </c>
      <c r="H23">
        <f t="shared" si="1"/>
        <v>1</v>
      </c>
      <c r="I23">
        <f t="shared" si="2"/>
        <v>11</v>
      </c>
      <c r="J23">
        <f t="shared" si="3"/>
        <v>1</v>
      </c>
      <c r="K23">
        <f t="shared" si="4"/>
        <v>-1</v>
      </c>
      <c r="L23">
        <f t="shared" si="5"/>
        <v>-1</v>
      </c>
      <c r="M23">
        <f t="shared" si="6"/>
        <v>-1</v>
      </c>
    </row>
    <row r="24" spans="1:13">
      <c r="A24">
        <f>IF(编写对白!$A23="","",编写对白!$A23)</f>
        <v>812521</v>
      </c>
      <c r="B24" t="str">
        <f>IF(编写对白!$B23="","",编写对白!$B23)</f>
        <v>初始军衔-交取任务</v>
      </c>
      <c r="C24" s="5">
        <f t="shared" si="0"/>
        <v>81252.1</v>
      </c>
      <c r="D24">
        <f>IF(编写对白!$F23="","",编写对白!$F23)</f>
        <v>1</v>
      </c>
      <c r="E24">
        <f>IF(编写对白!D23&lt;0,1,IF(编写对白!$D23="","",0))</f>
        <v>0</v>
      </c>
      <c r="F24">
        <f>IF(编写对白!$D23="","",编写对白!$D23)</f>
        <v>1000</v>
      </c>
      <c r="G24" t="str">
        <f>IF(编写对白!$G23="","",编写对白!$G23)</f>
        <v>大家佛为建瓯附件为，发呢欧文金佛微积分哦，附件欧文金佛我</v>
      </c>
      <c r="H24">
        <f t="shared" si="1"/>
        <v>1</v>
      </c>
      <c r="I24">
        <f t="shared" si="2"/>
        <v>11</v>
      </c>
      <c r="J24">
        <f t="shared" si="3"/>
        <v>1</v>
      </c>
      <c r="K24">
        <f t="shared" si="4"/>
        <v>-1</v>
      </c>
      <c r="L24">
        <f t="shared" si="5"/>
        <v>-1</v>
      </c>
      <c r="M24">
        <f t="shared" si="6"/>
        <v>-1</v>
      </c>
    </row>
    <row r="25" spans="1:13">
      <c r="A25">
        <f>IF(编写对白!$A24="","",编写对白!$A24)</f>
        <v>812522</v>
      </c>
      <c r="B25" t="str">
        <f>IF(编写对白!$B24="","",编写对白!$B24)</f>
        <v>初始军衔-交取任务</v>
      </c>
      <c r="C25" s="5">
        <f t="shared" si="0"/>
        <v>81252.2</v>
      </c>
      <c r="D25">
        <f>IF(编写对白!$F24="","",编写对白!$F24)</f>
        <v>1</v>
      </c>
      <c r="E25">
        <f>IF(编写对白!D24&lt;0,1,IF(编写对白!$D24="","",0))</f>
        <v>0</v>
      </c>
      <c r="F25">
        <f>IF(编写对白!$D24="","",编写对白!$D24)</f>
        <v>1000</v>
      </c>
      <c r="G25" t="str">
        <f>IF(编写对白!$G24="","",编写对白!$G24)</f>
        <v>大家佛为建瓯附件为，发呢欧文金佛微积分哦，附件欧文金佛我</v>
      </c>
      <c r="H25">
        <f t="shared" si="1"/>
        <v>1</v>
      </c>
      <c r="I25">
        <f t="shared" si="2"/>
        <v>11</v>
      </c>
      <c r="J25">
        <f t="shared" si="3"/>
        <v>1</v>
      </c>
      <c r="K25">
        <f t="shared" si="4"/>
        <v>-1</v>
      </c>
      <c r="L25">
        <f t="shared" si="5"/>
        <v>-1</v>
      </c>
      <c r="M25">
        <f t="shared" si="6"/>
        <v>-1</v>
      </c>
    </row>
    <row r="26" spans="1:13">
      <c r="A26">
        <f>IF(编写对白!$A25="","",编写对白!$A25)</f>
        <v>812523</v>
      </c>
      <c r="B26" t="str">
        <f>IF(编写对白!$B25="","",编写对白!$B25)</f>
        <v>初始军衔-交取任务</v>
      </c>
      <c r="C26" s="5">
        <f t="shared" si="0"/>
        <v>81252.3</v>
      </c>
      <c r="D26">
        <f>IF(编写对白!$F25="","",编写对白!$F25)</f>
        <v>1</v>
      </c>
      <c r="E26">
        <f>IF(编写对白!D25&lt;0,1,IF(编写对白!$D25="","",0))</f>
        <v>0</v>
      </c>
      <c r="F26">
        <f>IF(编写对白!$D25="","",编写对白!$D25)</f>
        <v>1000</v>
      </c>
      <c r="G26" t="str">
        <f>IF(编写对白!$G25="","",编写对白!$G25)</f>
        <v>大家佛为建瓯附件为，发呢欧文金佛微积分哦，附件欧文金佛我</v>
      </c>
      <c r="H26">
        <f t="shared" si="1"/>
        <v>1</v>
      </c>
      <c r="I26">
        <f t="shared" si="2"/>
        <v>11</v>
      </c>
      <c r="J26">
        <f t="shared" si="3"/>
        <v>1</v>
      </c>
      <c r="K26">
        <f t="shared" si="4"/>
        <v>-1</v>
      </c>
      <c r="L26">
        <f t="shared" si="5"/>
        <v>-1</v>
      </c>
      <c r="M26">
        <f t="shared" si="6"/>
        <v>-1</v>
      </c>
    </row>
    <row r="27" spans="1:13">
      <c r="A27">
        <f>IF(编写对白!$A26="","",编写对白!$A26)</f>
        <v>812530</v>
      </c>
      <c r="B27" t="str">
        <f>IF(编写对白!$B26="","",编写对白!$B26)</f>
        <v>初始军衔-再次接取任务</v>
      </c>
      <c r="C27" s="5">
        <f t="shared" si="0"/>
        <v>81253</v>
      </c>
      <c r="D27">
        <f>IF(编写对白!$F26="","",编写对白!$F26)</f>
        <v>1</v>
      </c>
      <c r="E27">
        <f>IF(编写对白!D26&lt;0,1,IF(编写对白!$D26="","",0))</f>
        <v>0</v>
      </c>
      <c r="F27">
        <f>IF(编写对白!$D26="","",编写对白!$D26)</f>
        <v>1000</v>
      </c>
      <c r="G27" t="str">
        <f>IF(编写对白!$G26="","",编写对白!$G26)</f>
        <v>大家佛为建瓯附件为，发呢欧文金佛微积分哦，附件欧文金佛我</v>
      </c>
      <c r="H27">
        <f t="shared" si="1"/>
        <v>1</v>
      </c>
      <c r="I27">
        <f t="shared" si="2"/>
        <v>11</v>
      </c>
      <c r="J27">
        <f t="shared" si="3"/>
        <v>1</v>
      </c>
      <c r="K27">
        <f t="shared" si="4"/>
        <v>-1</v>
      </c>
      <c r="L27">
        <f t="shared" si="5"/>
        <v>-1</v>
      </c>
      <c r="M27">
        <f t="shared" si="6"/>
        <v>-1</v>
      </c>
    </row>
    <row r="28" spans="1:13">
      <c r="A28">
        <f>IF(编写对白!$A27="","",编写对白!$A27)</f>
        <v>812531</v>
      </c>
      <c r="B28" t="str">
        <f>IF(编写对白!$B27="","",编写对白!$B27)</f>
        <v>初始军衔-再次接取任务</v>
      </c>
      <c r="C28" s="5">
        <f t="shared" si="0"/>
        <v>81253.1</v>
      </c>
      <c r="D28">
        <f>IF(编写对白!$F27="","",编写对白!$F27)</f>
        <v>1</v>
      </c>
      <c r="E28">
        <f>IF(编写对白!D27&lt;0,1,IF(编写对白!$D27="","",0))</f>
        <v>0</v>
      </c>
      <c r="F28">
        <f>IF(编写对白!$D27="","",编写对白!$D27)</f>
        <v>1000</v>
      </c>
      <c r="G28" t="str">
        <f>IF(编写对白!$G27="","",编写对白!$G27)</f>
        <v>大家佛为建瓯附件为，发呢欧文金佛微积分哦，附件欧文金佛我</v>
      </c>
      <c r="H28">
        <f t="shared" si="1"/>
        <v>1</v>
      </c>
      <c r="I28">
        <f t="shared" si="2"/>
        <v>11</v>
      </c>
      <c r="J28">
        <f t="shared" si="3"/>
        <v>1</v>
      </c>
      <c r="K28">
        <f t="shared" si="4"/>
        <v>-1</v>
      </c>
      <c r="L28">
        <f t="shared" si="5"/>
        <v>-1</v>
      </c>
      <c r="M28">
        <f t="shared" si="6"/>
        <v>-1</v>
      </c>
    </row>
    <row r="29" spans="1:13">
      <c r="A29">
        <f>IF(编写对白!$A28="","",编写对白!$A28)</f>
        <v>812532</v>
      </c>
      <c r="B29" t="str">
        <f>IF(编写对白!$B28="","",编写对白!$B28)</f>
        <v>初始军衔-再次接取任务</v>
      </c>
      <c r="C29" s="5">
        <f t="shared" si="0"/>
        <v>81253.2</v>
      </c>
      <c r="D29">
        <f>IF(编写对白!$F28="","",编写对白!$F28)</f>
        <v>1</v>
      </c>
      <c r="E29">
        <f>IF(编写对白!D28&lt;0,1,IF(编写对白!$D28="","",0))</f>
        <v>0</v>
      </c>
      <c r="F29">
        <f>IF(编写对白!$D28="","",编写对白!$D28)</f>
        <v>1000</v>
      </c>
      <c r="G29" t="str">
        <f>IF(编写对白!$G28="","",编写对白!$G28)</f>
        <v>大家佛为建瓯附件为，发呢欧文金佛微积分哦，附件欧文金佛我</v>
      </c>
      <c r="H29">
        <f t="shared" si="1"/>
        <v>1</v>
      </c>
      <c r="I29">
        <f t="shared" si="2"/>
        <v>11</v>
      </c>
      <c r="J29">
        <f t="shared" si="3"/>
        <v>1</v>
      </c>
      <c r="K29">
        <f t="shared" si="4"/>
        <v>-1</v>
      </c>
      <c r="L29">
        <f t="shared" si="5"/>
        <v>-1</v>
      </c>
      <c r="M29">
        <f t="shared" si="6"/>
        <v>-1</v>
      </c>
    </row>
    <row r="30" spans="1:13">
      <c r="A30">
        <f>IF(编写对白!$A29="","",编写对白!$A29)</f>
        <v>812533</v>
      </c>
      <c r="B30" t="str">
        <f>IF(编写对白!$B29="","",编写对白!$B29)</f>
        <v>初始军衔-再次接取任务</v>
      </c>
      <c r="C30" s="5">
        <f t="shared" si="0"/>
        <v>81253.3</v>
      </c>
      <c r="D30">
        <f>IF(编写对白!$F29="","",编写对白!$F29)</f>
        <v>1</v>
      </c>
      <c r="E30">
        <f>IF(编写对白!D29&lt;0,1,IF(编写对白!$D29="","",0))</f>
        <v>0</v>
      </c>
      <c r="F30">
        <f>IF(编写对白!$D29="","",编写对白!$D29)</f>
        <v>1000</v>
      </c>
      <c r="G30" t="str">
        <f>IF(编写对白!$G29="","",编写对白!$G29)</f>
        <v>大家佛为建瓯附件为，发呢欧文金佛微积分哦，附件欧文金佛我</v>
      </c>
      <c r="H30">
        <f t="shared" si="1"/>
        <v>1</v>
      </c>
      <c r="I30">
        <f t="shared" si="2"/>
        <v>11</v>
      </c>
      <c r="J30">
        <f t="shared" si="3"/>
        <v>1</v>
      </c>
      <c r="K30">
        <f t="shared" si="4"/>
        <v>-1</v>
      </c>
      <c r="L30">
        <f t="shared" si="5"/>
        <v>-1</v>
      </c>
      <c r="M30">
        <f t="shared" si="6"/>
        <v>-1</v>
      </c>
    </row>
    <row r="31" spans="1:13">
      <c r="A31">
        <f>IF(编写对白!$A30="","",编写对白!$A30)</f>
        <v>812534</v>
      </c>
      <c r="B31" t="str">
        <f>IF(编写对白!$B30="","",编写对白!$B30)</f>
        <v>初始军衔-再次接取任务</v>
      </c>
      <c r="C31" s="5">
        <f t="shared" si="0"/>
        <v>81253.4</v>
      </c>
      <c r="D31">
        <f>IF(编写对白!$F30="","",编写对白!$F30)</f>
        <v>1</v>
      </c>
      <c r="E31">
        <f>IF(编写对白!D30&lt;0,1,IF(编写对白!$D30="","",0))</f>
        <v>0</v>
      </c>
      <c r="F31">
        <f>IF(编写对白!$D30="","",编写对白!$D30)</f>
        <v>1000</v>
      </c>
      <c r="G31" t="str">
        <f>IF(编写对白!$G30="","",编写对白!$G30)</f>
        <v>大家佛为建瓯附件为，发呢欧文金佛微积分哦，附件欧文金佛我</v>
      </c>
      <c r="H31">
        <f t="shared" si="1"/>
        <v>1</v>
      </c>
      <c r="I31">
        <f t="shared" si="2"/>
        <v>11</v>
      </c>
      <c r="J31">
        <f t="shared" si="3"/>
        <v>1</v>
      </c>
      <c r="K31">
        <f t="shared" si="4"/>
        <v>-1</v>
      </c>
      <c r="L31">
        <f t="shared" si="5"/>
        <v>-1</v>
      </c>
      <c r="M31">
        <f t="shared" si="6"/>
        <v>-1</v>
      </c>
    </row>
    <row r="32" spans="1:13">
      <c r="A32">
        <f>IF(编写对白!$A31="","",编写对白!$A31)</f>
        <v>812535</v>
      </c>
      <c r="B32" t="str">
        <f>IF(编写对白!$B31="","",编写对白!$B31)</f>
        <v>初始军衔-再次接取任务</v>
      </c>
      <c r="C32" s="5">
        <f t="shared" si="0"/>
        <v>81253.5</v>
      </c>
      <c r="D32">
        <f>IF(编写对白!$F31="","",编写对白!$F31)</f>
        <v>1</v>
      </c>
      <c r="E32">
        <f>IF(编写对白!D31&lt;0,1,IF(编写对白!$D31="","",0))</f>
        <v>0</v>
      </c>
      <c r="F32">
        <f>IF(编写对白!$D31="","",编写对白!$D31)</f>
        <v>1000</v>
      </c>
      <c r="G32" t="str">
        <f>IF(编写对白!$G31="","",编写对白!$G31)</f>
        <v>大家佛为建瓯附件为，发呢欧文金佛微积分哦，附件欧文金佛我</v>
      </c>
      <c r="H32">
        <f t="shared" si="1"/>
        <v>1</v>
      </c>
      <c r="I32">
        <f t="shared" si="2"/>
        <v>11</v>
      </c>
      <c r="J32">
        <f t="shared" si="3"/>
        <v>1</v>
      </c>
      <c r="K32">
        <f t="shared" si="4"/>
        <v>-1</v>
      </c>
      <c r="L32">
        <f t="shared" si="5"/>
        <v>-1</v>
      </c>
      <c r="M32">
        <f t="shared" si="6"/>
        <v>-1</v>
      </c>
    </row>
    <row r="33" spans="1:13">
      <c r="A33">
        <f>IF(编写对白!$A32="","",编写对白!$A32)</f>
        <v>812610</v>
      </c>
      <c r="B33" t="str">
        <f>IF(编写对白!$B32="","",编写对白!$B32)</f>
        <v>初始军衔-接取任务</v>
      </c>
      <c r="C33" s="5">
        <f t="shared" si="0"/>
        <v>81261</v>
      </c>
      <c r="D33">
        <f>IF(编写对白!$F32="","",编写对白!$F32)</f>
        <v>1</v>
      </c>
      <c r="E33">
        <f>IF(编写对白!D32&lt;0,1,IF(编写对白!$D32="","",0))</f>
        <v>0</v>
      </c>
      <c r="F33">
        <f>IF(编写对白!$D32="","",编写对白!$D32)</f>
        <v>1000</v>
      </c>
      <c r="G33" t="str">
        <f>IF(编写对白!$G32="","",编写对白!$G32)</f>
        <v>大家佛为建瓯附件为，发呢欧文金佛微积分哦，附件欧文金佛我</v>
      </c>
      <c r="H33">
        <f t="shared" si="1"/>
        <v>1</v>
      </c>
      <c r="I33">
        <f t="shared" si="2"/>
        <v>11</v>
      </c>
      <c r="J33">
        <f t="shared" si="3"/>
        <v>1</v>
      </c>
      <c r="K33">
        <f t="shared" si="4"/>
        <v>-1</v>
      </c>
      <c r="L33">
        <f t="shared" si="5"/>
        <v>-1</v>
      </c>
      <c r="M33">
        <f t="shared" si="6"/>
        <v>-1</v>
      </c>
    </row>
    <row r="34" spans="1:13">
      <c r="A34">
        <f>IF(编写对白!$A33="","",编写对白!$A33)</f>
        <v>812611</v>
      </c>
      <c r="B34" t="str">
        <f>IF(编写对白!$B33="","",编写对白!$B33)</f>
        <v>初始军衔-接取任务</v>
      </c>
      <c r="C34" s="5">
        <f t="shared" si="0"/>
        <v>81261.1</v>
      </c>
      <c r="D34">
        <f>IF(编写对白!$F33="","",编写对白!$F33)</f>
        <v>1</v>
      </c>
      <c r="E34">
        <f>IF(编写对白!D33&lt;0,1,IF(编写对白!$D33="","",0))</f>
        <v>0</v>
      </c>
      <c r="F34">
        <f>IF(编写对白!$D33="","",编写对白!$D33)</f>
        <v>1000</v>
      </c>
      <c r="G34" t="str">
        <f>IF(编写对白!$G33="","",编写对白!$G33)</f>
        <v>大家佛为建瓯附件为，发呢欧文金佛微积分哦，附件欧文金佛我</v>
      </c>
      <c r="H34">
        <f t="shared" si="1"/>
        <v>1</v>
      </c>
      <c r="I34">
        <f t="shared" si="2"/>
        <v>11</v>
      </c>
      <c r="J34">
        <f t="shared" si="3"/>
        <v>1</v>
      </c>
      <c r="K34">
        <f t="shared" si="4"/>
        <v>-1</v>
      </c>
      <c r="L34">
        <f t="shared" si="5"/>
        <v>-1</v>
      </c>
      <c r="M34">
        <f t="shared" si="6"/>
        <v>-1</v>
      </c>
    </row>
    <row r="35" spans="1:13">
      <c r="A35">
        <f>IF(编写对白!$A34="","",编写对白!$A34)</f>
        <v>812612</v>
      </c>
      <c r="B35" t="str">
        <f>IF(编写对白!$B34="","",编写对白!$B34)</f>
        <v>初始军衔-接取任务</v>
      </c>
      <c r="C35" s="5">
        <f t="shared" si="0"/>
        <v>81261.2</v>
      </c>
      <c r="D35">
        <f>IF(编写对白!$F34="","",编写对白!$F34)</f>
        <v>1</v>
      </c>
      <c r="E35">
        <f>IF(编写对白!D34&lt;0,1,IF(编写对白!$D34="","",0))</f>
        <v>0</v>
      </c>
      <c r="F35">
        <f>IF(编写对白!$D34="","",编写对白!$D34)</f>
        <v>1000</v>
      </c>
      <c r="G35" t="str">
        <f>IF(编写对白!$G34="","",编写对白!$G34)</f>
        <v>大家佛为建瓯附件为，发呢欧文金佛微积分哦，附件欧文金佛我</v>
      </c>
      <c r="H35">
        <f t="shared" si="1"/>
        <v>1</v>
      </c>
      <c r="I35">
        <f t="shared" si="2"/>
        <v>11</v>
      </c>
      <c r="J35">
        <f t="shared" si="3"/>
        <v>1</v>
      </c>
      <c r="K35">
        <f t="shared" si="4"/>
        <v>-1</v>
      </c>
      <c r="L35">
        <f t="shared" si="5"/>
        <v>-1</v>
      </c>
      <c r="M35">
        <f t="shared" si="6"/>
        <v>-1</v>
      </c>
    </row>
    <row r="36" spans="1:13">
      <c r="A36">
        <f>IF(编写对白!$A35="","",编写对白!$A35)</f>
        <v>812613</v>
      </c>
      <c r="B36" t="str">
        <f>IF(编写对白!$B35="","",编写对白!$B35)</f>
        <v>初始军衔-接取任务</v>
      </c>
      <c r="C36" s="5">
        <f t="shared" si="0"/>
        <v>81261.3</v>
      </c>
      <c r="D36">
        <f>IF(编写对白!$F35="","",编写对白!$F35)</f>
        <v>1</v>
      </c>
      <c r="E36">
        <f>IF(编写对白!D35&lt;0,1,IF(编写对白!$D35="","",0))</f>
        <v>0</v>
      </c>
      <c r="F36">
        <f>IF(编写对白!$D35="","",编写对白!$D35)</f>
        <v>1000</v>
      </c>
      <c r="G36" t="str">
        <f>IF(编写对白!$G35="","",编写对白!$G35)</f>
        <v>大家佛为建瓯附件为，发呢欧文金佛微积分哦，附件欧文金佛我</v>
      </c>
      <c r="H36">
        <f t="shared" si="1"/>
        <v>1</v>
      </c>
      <c r="I36">
        <f t="shared" si="2"/>
        <v>11</v>
      </c>
      <c r="J36">
        <f t="shared" si="3"/>
        <v>1</v>
      </c>
      <c r="K36">
        <f t="shared" si="4"/>
        <v>-1</v>
      </c>
      <c r="L36">
        <f t="shared" si="5"/>
        <v>-1</v>
      </c>
      <c r="M36">
        <f t="shared" si="6"/>
        <v>-1</v>
      </c>
    </row>
    <row r="37" spans="1:13">
      <c r="A37">
        <f>IF(编写对白!$A36="","",编写对白!$A36)</f>
        <v>812614</v>
      </c>
      <c r="B37" t="str">
        <f>IF(编写对白!$B36="","",编写对白!$B36)</f>
        <v>初始军衔-接取任务</v>
      </c>
      <c r="C37" s="5">
        <f t="shared" ref="C37:C68" si="7">IF($A37="","",$A37/10)</f>
        <v>81261.4</v>
      </c>
      <c r="D37">
        <f>IF(编写对白!$F36="","",编写对白!$F36)</f>
        <v>1</v>
      </c>
      <c r="E37">
        <f>IF(编写对白!D36&lt;0,1,IF(编写对白!$D36="","",0))</f>
        <v>0</v>
      </c>
      <c r="F37">
        <f>IF(编写对白!$D36="","",编写对白!$D36)</f>
        <v>1000</v>
      </c>
      <c r="G37" t="str">
        <f>IF(编写对白!$G36="","",编写对白!$G36)</f>
        <v>大家佛为建瓯附件为，发呢欧文金佛微积分哦，附件欧文金佛我</v>
      </c>
      <c r="H37">
        <f t="shared" ref="H37:H68" si="8">IF($A37="","",1)</f>
        <v>1</v>
      </c>
      <c r="I37">
        <f t="shared" ref="I37:I68" si="9">IF($G37="","",ROUNDUP(LEN($G37)/3+1,0))</f>
        <v>11</v>
      </c>
      <c r="J37">
        <f t="shared" ref="J37:J68" si="10">IF($A37="","",1)</f>
        <v>1</v>
      </c>
      <c r="K37">
        <f t="shared" ref="K37:K68" si="11">IF($A37="","",-1)</f>
        <v>-1</v>
      </c>
      <c r="L37">
        <f t="shared" ref="L37:L68" si="12">IF($A37="","",-1)</f>
        <v>-1</v>
      </c>
      <c r="M37">
        <f t="shared" ref="M37:M68" si="13">IF($A37="","",-1)</f>
        <v>-1</v>
      </c>
    </row>
    <row r="38" spans="1:13">
      <c r="A38">
        <f>IF(编写对白!$A37="","",编写对白!$A37)</f>
        <v>812615</v>
      </c>
      <c r="B38" t="str">
        <f>IF(编写对白!$B37="","",编写对白!$B37)</f>
        <v>初始军衔-接取任务</v>
      </c>
      <c r="C38" s="5">
        <f t="shared" si="7"/>
        <v>81261.5</v>
      </c>
      <c r="D38">
        <f>IF(编写对白!$F37="","",编写对白!$F37)</f>
        <v>1</v>
      </c>
      <c r="E38">
        <f>IF(编写对白!D37&lt;0,1,IF(编写对白!$D37="","",0))</f>
        <v>0</v>
      </c>
      <c r="F38">
        <f>IF(编写对白!$D37="","",编写对白!$D37)</f>
        <v>1000</v>
      </c>
      <c r="G38" t="str">
        <f>IF(编写对白!$G37="","",编写对白!$G37)</f>
        <v>大家佛为建瓯附件为，发呢欧文金佛微积分哦，附件欧文金佛我</v>
      </c>
      <c r="H38">
        <f t="shared" si="8"/>
        <v>1</v>
      </c>
      <c r="I38">
        <f t="shared" si="9"/>
        <v>11</v>
      </c>
      <c r="J38">
        <f t="shared" si="10"/>
        <v>1</v>
      </c>
      <c r="K38">
        <f t="shared" si="11"/>
        <v>-1</v>
      </c>
      <c r="L38">
        <f t="shared" si="12"/>
        <v>-1</v>
      </c>
      <c r="M38">
        <f t="shared" si="13"/>
        <v>-1</v>
      </c>
    </row>
    <row r="39" spans="1:13">
      <c r="A39">
        <f>IF(编写对白!$A38="","",编写对白!$A38)</f>
        <v>812616</v>
      </c>
      <c r="B39" t="str">
        <f>IF(编写对白!$B38="","",编写对白!$B38)</f>
        <v>初始军衔-接取任务</v>
      </c>
      <c r="C39" s="5">
        <f t="shared" si="7"/>
        <v>81261.6</v>
      </c>
      <c r="D39">
        <f>IF(编写对白!$F38="","",编写对白!$F38)</f>
        <v>1</v>
      </c>
      <c r="E39">
        <f>IF(编写对白!D38&lt;0,1,IF(编写对白!$D38="","",0))</f>
        <v>0</v>
      </c>
      <c r="F39">
        <f>IF(编写对白!$D38="","",编写对白!$D38)</f>
        <v>1000</v>
      </c>
      <c r="G39" t="str">
        <f>IF(编写对白!$G38="","",编写对白!$G38)</f>
        <v>大家佛为建瓯附件为，发呢欧文金佛微积分哦，附件欧文金佛我</v>
      </c>
      <c r="H39">
        <f t="shared" si="8"/>
        <v>1</v>
      </c>
      <c r="I39">
        <f t="shared" si="9"/>
        <v>11</v>
      </c>
      <c r="J39">
        <f t="shared" si="10"/>
        <v>1</v>
      </c>
      <c r="K39">
        <f t="shared" si="11"/>
        <v>-1</v>
      </c>
      <c r="L39">
        <f t="shared" si="12"/>
        <v>-1</v>
      </c>
      <c r="M39">
        <f t="shared" si="13"/>
        <v>-1</v>
      </c>
    </row>
    <row r="40" spans="1:13">
      <c r="A40">
        <f>IF(编写对白!$A39="","",编写对白!$A39)</f>
        <v>812620</v>
      </c>
      <c r="B40" t="str">
        <f>IF(编写对白!$B39="","",编写对白!$B39)</f>
        <v>初始军衔-交取任务</v>
      </c>
      <c r="C40" s="5">
        <f t="shared" si="7"/>
        <v>81262</v>
      </c>
      <c r="D40">
        <f>IF(编写对白!$F39="","",编写对白!$F39)</f>
        <v>1</v>
      </c>
      <c r="E40">
        <f>IF(编写对白!D39&lt;0,1,IF(编写对白!$D39="","",0))</f>
        <v>0</v>
      </c>
      <c r="F40">
        <f>IF(编写对白!$D39="","",编写对白!$D39)</f>
        <v>1000</v>
      </c>
      <c r="G40" t="str">
        <f>IF(编写对白!$G39="","",编写对白!$G39)</f>
        <v>大家佛为建瓯附件为，发呢欧文金佛微积分哦，附件欧文金佛我</v>
      </c>
      <c r="H40">
        <f t="shared" si="8"/>
        <v>1</v>
      </c>
      <c r="I40">
        <f t="shared" si="9"/>
        <v>11</v>
      </c>
      <c r="J40">
        <f t="shared" si="10"/>
        <v>1</v>
      </c>
      <c r="K40">
        <f t="shared" si="11"/>
        <v>-1</v>
      </c>
      <c r="L40">
        <f t="shared" si="12"/>
        <v>-1</v>
      </c>
      <c r="M40">
        <f t="shared" si="13"/>
        <v>-1</v>
      </c>
    </row>
    <row r="41" spans="1:13">
      <c r="A41">
        <f>IF(编写对白!$A40="","",编写对白!$A40)</f>
        <v>812621</v>
      </c>
      <c r="B41" t="str">
        <f>IF(编写对白!$B40="","",编写对白!$B40)</f>
        <v>初始军衔-交取任务</v>
      </c>
      <c r="C41" s="5">
        <f t="shared" si="7"/>
        <v>81262.1</v>
      </c>
      <c r="D41">
        <f>IF(编写对白!$F40="","",编写对白!$F40)</f>
        <v>1</v>
      </c>
      <c r="E41">
        <f>IF(编写对白!D40&lt;0,1,IF(编写对白!$D40="","",0))</f>
        <v>0</v>
      </c>
      <c r="F41">
        <f>IF(编写对白!$D40="","",编写对白!$D40)</f>
        <v>1000</v>
      </c>
      <c r="G41" t="str">
        <f>IF(编写对白!$G40="","",编写对白!$G40)</f>
        <v>大家佛为建瓯附件为，发呢欧文金佛微积分哦，附件欧文金佛我</v>
      </c>
      <c r="H41">
        <f t="shared" si="8"/>
        <v>1</v>
      </c>
      <c r="I41">
        <f t="shared" si="9"/>
        <v>11</v>
      </c>
      <c r="J41">
        <f t="shared" si="10"/>
        <v>1</v>
      </c>
      <c r="K41">
        <f t="shared" si="11"/>
        <v>-1</v>
      </c>
      <c r="L41">
        <f t="shared" si="12"/>
        <v>-1</v>
      </c>
      <c r="M41">
        <f t="shared" si="13"/>
        <v>-1</v>
      </c>
    </row>
    <row r="42" spans="1:13">
      <c r="A42">
        <f>IF(编写对白!$A41="","",编写对白!$A41)</f>
        <v>812622</v>
      </c>
      <c r="B42" t="str">
        <f>IF(编写对白!$B41="","",编写对白!$B41)</f>
        <v>初始军衔-交取任务</v>
      </c>
      <c r="C42" s="5">
        <f t="shared" si="7"/>
        <v>81262.2</v>
      </c>
      <c r="D42">
        <f>IF(编写对白!$F41="","",编写对白!$F41)</f>
        <v>1</v>
      </c>
      <c r="E42">
        <f>IF(编写对白!D41&lt;0,1,IF(编写对白!$D41="","",0))</f>
        <v>0</v>
      </c>
      <c r="F42">
        <f>IF(编写对白!$D41="","",编写对白!$D41)</f>
        <v>1000</v>
      </c>
      <c r="G42" t="str">
        <f>IF(编写对白!$G41="","",编写对白!$G41)</f>
        <v>大家佛为建瓯附件为，发呢欧文金佛微积分哦，附件欧文金佛我</v>
      </c>
      <c r="H42">
        <f t="shared" si="8"/>
        <v>1</v>
      </c>
      <c r="I42">
        <f t="shared" si="9"/>
        <v>11</v>
      </c>
      <c r="J42">
        <f t="shared" si="10"/>
        <v>1</v>
      </c>
      <c r="K42">
        <f t="shared" si="11"/>
        <v>-1</v>
      </c>
      <c r="L42">
        <f t="shared" si="12"/>
        <v>-1</v>
      </c>
      <c r="M42">
        <f t="shared" si="13"/>
        <v>-1</v>
      </c>
    </row>
    <row r="43" spans="1:13">
      <c r="A43">
        <f>IF(编写对白!$A42="","",编写对白!$A42)</f>
        <v>812623</v>
      </c>
      <c r="B43" t="str">
        <f>IF(编写对白!$B42="","",编写对白!$B42)</f>
        <v>初始军衔-交取任务</v>
      </c>
      <c r="C43" s="5">
        <f t="shared" si="7"/>
        <v>81262.3</v>
      </c>
      <c r="D43">
        <f>IF(编写对白!$F42="","",编写对白!$F42)</f>
        <v>1</v>
      </c>
      <c r="E43">
        <f>IF(编写对白!D42&lt;0,1,IF(编写对白!$D42="","",0))</f>
        <v>0</v>
      </c>
      <c r="F43">
        <f>IF(编写对白!$D42="","",编写对白!$D42)</f>
        <v>1000</v>
      </c>
      <c r="G43" t="str">
        <f>IF(编写对白!$G42="","",编写对白!$G42)</f>
        <v>大家佛为建瓯附件为，发呢欧文金佛微积分哦，附件欧文金佛我</v>
      </c>
      <c r="H43">
        <f t="shared" si="8"/>
        <v>1</v>
      </c>
      <c r="I43">
        <f t="shared" si="9"/>
        <v>11</v>
      </c>
      <c r="J43">
        <f t="shared" si="10"/>
        <v>1</v>
      </c>
      <c r="K43">
        <f t="shared" si="11"/>
        <v>-1</v>
      </c>
      <c r="L43">
        <f t="shared" si="12"/>
        <v>-1</v>
      </c>
      <c r="M43">
        <f t="shared" si="13"/>
        <v>-1</v>
      </c>
    </row>
    <row r="44" spans="1:13">
      <c r="A44">
        <f>IF(编写对白!$A43="","",编写对白!$A43)</f>
        <v>812624</v>
      </c>
      <c r="B44" t="str">
        <f>IF(编写对白!$B43="","",编写对白!$B43)</f>
        <v>初始军衔-交取任务</v>
      </c>
      <c r="C44" s="5">
        <f t="shared" si="7"/>
        <v>81262.4</v>
      </c>
      <c r="D44">
        <f>IF(编写对白!$F43="","",编写对白!$F43)</f>
        <v>1</v>
      </c>
      <c r="E44">
        <f>IF(编写对白!D43&lt;0,1,IF(编写对白!$D43="","",0))</f>
        <v>0</v>
      </c>
      <c r="F44">
        <f>IF(编写对白!$D43="","",编写对白!$D43)</f>
        <v>1000</v>
      </c>
      <c r="G44" t="str">
        <f>IF(编写对白!$G43="","",编写对白!$G43)</f>
        <v>大家佛为建瓯附件为，发呢欧文金佛微积分哦，附件欧文金佛我</v>
      </c>
      <c r="H44">
        <f t="shared" si="8"/>
        <v>1</v>
      </c>
      <c r="I44">
        <f t="shared" si="9"/>
        <v>11</v>
      </c>
      <c r="J44">
        <f t="shared" si="10"/>
        <v>1</v>
      </c>
      <c r="K44">
        <f t="shared" si="11"/>
        <v>-1</v>
      </c>
      <c r="L44">
        <f t="shared" si="12"/>
        <v>-1</v>
      </c>
      <c r="M44">
        <f t="shared" si="13"/>
        <v>-1</v>
      </c>
    </row>
    <row r="45" spans="1:13">
      <c r="A45">
        <f>IF(编写对白!$A44="","",编写对白!$A44)</f>
        <v>812630</v>
      </c>
      <c r="B45" t="str">
        <f>IF(编写对白!$B44="","",编写对白!$B44)</f>
        <v>初始军衔-再次接取任务</v>
      </c>
      <c r="C45" s="5">
        <f t="shared" si="7"/>
        <v>81263</v>
      </c>
      <c r="D45">
        <f>IF(编写对白!$F44="","",编写对白!$F44)</f>
        <v>1</v>
      </c>
      <c r="E45">
        <f>IF(编写对白!D44&lt;0,1,IF(编写对白!$D44="","",0))</f>
        <v>0</v>
      </c>
      <c r="F45">
        <f>IF(编写对白!$D44="","",编写对白!$D44)</f>
        <v>1000</v>
      </c>
      <c r="G45" t="str">
        <f>IF(编写对白!$G44="","",编写对白!$G44)</f>
        <v>大家佛为建瓯附件为，发呢欧文金佛微积分哦，附件欧文金佛我</v>
      </c>
      <c r="H45">
        <f t="shared" si="8"/>
        <v>1</v>
      </c>
      <c r="I45">
        <f t="shared" si="9"/>
        <v>11</v>
      </c>
      <c r="J45">
        <f t="shared" si="10"/>
        <v>1</v>
      </c>
      <c r="K45">
        <f t="shared" si="11"/>
        <v>-1</v>
      </c>
      <c r="L45">
        <f t="shared" si="12"/>
        <v>-1</v>
      </c>
      <c r="M45">
        <f t="shared" si="13"/>
        <v>-1</v>
      </c>
    </row>
    <row r="46" spans="1:13">
      <c r="A46">
        <f>IF(编写对白!$A45="","",编写对白!$A45)</f>
        <v>812631</v>
      </c>
      <c r="B46" t="str">
        <f>IF(编写对白!$B45="","",编写对白!$B45)</f>
        <v>初始军衔-再次接取任务</v>
      </c>
      <c r="C46" s="5">
        <f t="shared" si="7"/>
        <v>81263.1</v>
      </c>
      <c r="D46">
        <f>IF(编写对白!$F45="","",编写对白!$F45)</f>
        <v>1</v>
      </c>
      <c r="E46">
        <f>IF(编写对白!D45&lt;0,1,IF(编写对白!$D45="","",0))</f>
        <v>0</v>
      </c>
      <c r="F46">
        <f>IF(编写对白!$D45="","",编写对白!$D45)</f>
        <v>1000</v>
      </c>
      <c r="G46" t="str">
        <f>IF(编写对白!$G45="","",编写对白!$G45)</f>
        <v>大家佛为建瓯附件为，发呢欧文金佛微积分哦，附件欧文金佛我</v>
      </c>
      <c r="H46">
        <f t="shared" si="8"/>
        <v>1</v>
      </c>
      <c r="I46">
        <f t="shared" si="9"/>
        <v>11</v>
      </c>
      <c r="J46">
        <f t="shared" si="10"/>
        <v>1</v>
      </c>
      <c r="K46">
        <f t="shared" si="11"/>
        <v>-1</v>
      </c>
      <c r="L46">
        <f t="shared" si="12"/>
        <v>-1</v>
      </c>
      <c r="M46">
        <f t="shared" si="13"/>
        <v>-1</v>
      </c>
    </row>
    <row r="47" spans="1:13">
      <c r="A47">
        <f>IF(编写对白!$A46="","",编写对白!$A46)</f>
        <v>812632</v>
      </c>
      <c r="B47" t="str">
        <f>IF(编写对白!$B46="","",编写对白!$B46)</f>
        <v>初始军衔-再次接取任务</v>
      </c>
      <c r="C47" s="5">
        <f t="shared" si="7"/>
        <v>81263.2</v>
      </c>
      <c r="D47">
        <f>IF(编写对白!$F46="","",编写对白!$F46)</f>
        <v>1</v>
      </c>
      <c r="E47">
        <f>IF(编写对白!D46&lt;0,1,IF(编写对白!$D46="","",0))</f>
        <v>0</v>
      </c>
      <c r="F47">
        <f>IF(编写对白!$D46="","",编写对白!$D46)</f>
        <v>1000</v>
      </c>
      <c r="G47" t="str">
        <f>IF(编写对白!$G46="","",编写对白!$G46)</f>
        <v>大家佛为建瓯附件为，发呢欧文金佛微积分哦，附件欧文金佛我</v>
      </c>
      <c r="H47">
        <f t="shared" si="8"/>
        <v>1</v>
      </c>
      <c r="I47">
        <f t="shared" si="9"/>
        <v>11</v>
      </c>
      <c r="J47">
        <f t="shared" si="10"/>
        <v>1</v>
      </c>
      <c r="K47">
        <f t="shared" si="11"/>
        <v>-1</v>
      </c>
      <c r="L47">
        <f t="shared" si="12"/>
        <v>-1</v>
      </c>
      <c r="M47">
        <f t="shared" si="13"/>
        <v>-1</v>
      </c>
    </row>
    <row r="48" spans="1:13">
      <c r="A48">
        <f>IF(编写对白!$A47="","",编写对白!$A47)</f>
        <v>812633</v>
      </c>
      <c r="B48" t="str">
        <f>IF(编写对白!$B47="","",编写对白!$B47)</f>
        <v>初始军衔-再次接取任务</v>
      </c>
      <c r="C48" s="5">
        <f t="shared" si="7"/>
        <v>81263.3</v>
      </c>
      <c r="D48">
        <f>IF(编写对白!$F47="","",编写对白!$F47)</f>
        <v>1</v>
      </c>
      <c r="E48">
        <f>IF(编写对白!D47&lt;0,1,IF(编写对白!$D47="","",0))</f>
        <v>0</v>
      </c>
      <c r="F48">
        <f>IF(编写对白!$D47="","",编写对白!$D47)</f>
        <v>1000</v>
      </c>
      <c r="G48" t="str">
        <f>IF(编写对白!$G47="","",编写对白!$G47)</f>
        <v>大家佛为建瓯附件为，发呢欧文金佛微积分哦，附件欧文金佛我</v>
      </c>
      <c r="H48">
        <f t="shared" si="8"/>
        <v>1</v>
      </c>
      <c r="I48">
        <f t="shared" si="9"/>
        <v>11</v>
      </c>
      <c r="J48">
        <f t="shared" si="10"/>
        <v>1</v>
      </c>
      <c r="K48">
        <f t="shared" si="11"/>
        <v>-1</v>
      </c>
      <c r="L48">
        <f t="shared" si="12"/>
        <v>-1</v>
      </c>
      <c r="M48">
        <f t="shared" si="13"/>
        <v>-1</v>
      </c>
    </row>
    <row r="49" spans="1:13">
      <c r="A49">
        <f>IF(编写对白!$A48="","",编写对白!$A48)</f>
        <v>812634</v>
      </c>
      <c r="B49" t="str">
        <f>IF(编写对白!$B48="","",编写对白!$B48)</f>
        <v>初始军衔-再次接取任务</v>
      </c>
      <c r="C49" s="5">
        <f t="shared" si="7"/>
        <v>81263.4</v>
      </c>
      <c r="D49">
        <f>IF(编写对白!$F48="","",编写对白!$F48)</f>
        <v>1</v>
      </c>
      <c r="E49">
        <f>IF(编写对白!D48&lt;0,1,IF(编写对白!$D48="","",0))</f>
        <v>0</v>
      </c>
      <c r="F49">
        <f>IF(编写对白!$D48="","",编写对白!$D48)</f>
        <v>1000</v>
      </c>
      <c r="G49" t="str">
        <f>IF(编写对白!$G48="","",编写对白!$G48)</f>
        <v>大家佛为建瓯附件为，发呢欧文金佛微积分哦，附件欧文金佛我</v>
      </c>
      <c r="H49">
        <f t="shared" si="8"/>
        <v>1</v>
      </c>
      <c r="I49">
        <f t="shared" si="9"/>
        <v>11</v>
      </c>
      <c r="J49">
        <f t="shared" si="10"/>
        <v>1</v>
      </c>
      <c r="K49">
        <f t="shared" si="11"/>
        <v>-1</v>
      </c>
      <c r="L49">
        <f t="shared" si="12"/>
        <v>-1</v>
      </c>
      <c r="M49">
        <f t="shared" si="13"/>
        <v>-1</v>
      </c>
    </row>
    <row r="50" spans="1:13">
      <c r="A50">
        <f>IF(编写对白!$A49="","",编写对白!$A49)</f>
        <v>812635</v>
      </c>
      <c r="B50" t="str">
        <f>IF(编写对白!$B49="","",编写对白!$B49)</f>
        <v>初始军衔-再次接取任务</v>
      </c>
      <c r="C50" s="5">
        <f t="shared" si="7"/>
        <v>81263.5</v>
      </c>
      <c r="D50">
        <f>IF(编写对白!$F49="","",编写对白!$F49)</f>
        <v>1</v>
      </c>
      <c r="E50">
        <f>IF(编写对白!D49&lt;0,1,IF(编写对白!$D49="","",0))</f>
        <v>0</v>
      </c>
      <c r="F50">
        <f>IF(编写对白!$D49="","",编写对白!$D49)</f>
        <v>1000</v>
      </c>
      <c r="G50" t="str">
        <f>IF(编写对白!$G49="","",编写对白!$G49)</f>
        <v>大家佛为建瓯附件为，发呢欧文金佛微积分哦，附件欧文金佛我</v>
      </c>
      <c r="H50">
        <f t="shared" si="8"/>
        <v>1</v>
      </c>
      <c r="I50">
        <f t="shared" si="9"/>
        <v>11</v>
      </c>
      <c r="J50">
        <f t="shared" si="10"/>
        <v>1</v>
      </c>
      <c r="K50">
        <f t="shared" si="11"/>
        <v>-1</v>
      </c>
      <c r="L50">
        <f t="shared" si="12"/>
        <v>-1</v>
      </c>
      <c r="M50">
        <f t="shared" si="13"/>
        <v>-1</v>
      </c>
    </row>
    <row r="51" spans="1:13">
      <c r="A51">
        <f>IF(编写对白!$A50="","",编写对白!$A50)</f>
        <v>812636</v>
      </c>
      <c r="B51" t="str">
        <f>IF(编写对白!$B50="","",编写对白!$B50)</f>
        <v>初始军衔-再次接取任务</v>
      </c>
      <c r="C51" s="5">
        <f t="shared" si="7"/>
        <v>81263.6</v>
      </c>
      <c r="D51">
        <f>IF(编写对白!$F50="","",编写对白!$F50)</f>
        <v>1</v>
      </c>
      <c r="E51">
        <f>IF(编写对白!D50&lt;0,1,IF(编写对白!$D50="","",0))</f>
        <v>0</v>
      </c>
      <c r="F51">
        <f>IF(编写对白!$D50="","",编写对白!$D50)</f>
        <v>1000</v>
      </c>
      <c r="G51" t="str">
        <f>IF(编写对白!$G50="","",编写对白!$G50)</f>
        <v>大家佛为建瓯附件为，发呢欧文金佛微积分哦，附件欧文金佛我</v>
      </c>
      <c r="H51">
        <f t="shared" si="8"/>
        <v>1</v>
      </c>
      <c r="I51">
        <f t="shared" si="9"/>
        <v>11</v>
      </c>
      <c r="J51">
        <f t="shared" si="10"/>
        <v>1</v>
      </c>
      <c r="K51">
        <f t="shared" si="11"/>
        <v>-1</v>
      </c>
      <c r="L51">
        <f t="shared" si="12"/>
        <v>-1</v>
      </c>
      <c r="M51">
        <f t="shared" si="13"/>
        <v>-1</v>
      </c>
    </row>
    <row r="52" spans="1:13">
      <c r="A52" t="str">
        <f>IF(编写对白!$A51="","",编写对白!$A51)</f>
        <v/>
      </c>
      <c r="B52" t="str">
        <f>IF(编写对白!$B51="","",编写对白!$B51)</f>
        <v/>
      </c>
      <c r="C52" s="5" t="str">
        <f t="shared" si="7"/>
        <v/>
      </c>
      <c r="D52" t="str">
        <f>IF(编写对白!$F51="","",编写对白!$F51)</f>
        <v/>
      </c>
      <c r="E52" t="str">
        <f>IF(编写对白!D51&lt;0,1,IF(编写对白!$D51="","",0))</f>
        <v/>
      </c>
      <c r="F52" t="str">
        <f>IF(编写对白!$D51="","",编写对白!$D51)</f>
        <v/>
      </c>
      <c r="G52" t="str">
        <f>IF(编写对白!$G51="","",编写对白!$G51)</f>
        <v/>
      </c>
      <c r="H52" t="str">
        <f t="shared" si="8"/>
        <v/>
      </c>
      <c r="I52" t="str">
        <f t="shared" si="9"/>
        <v/>
      </c>
      <c r="J52" t="str">
        <f t="shared" si="10"/>
        <v/>
      </c>
      <c r="K52" t="str">
        <f t="shared" si="11"/>
        <v/>
      </c>
      <c r="L52" t="str">
        <f t="shared" si="12"/>
        <v/>
      </c>
      <c r="M52" t="str">
        <f t="shared" si="13"/>
        <v/>
      </c>
    </row>
    <row r="53" spans="1:13">
      <c r="A53" t="str">
        <f>IF(编写对白!$A52="","",编写对白!$A52)</f>
        <v/>
      </c>
      <c r="B53" t="str">
        <f>IF(编写对白!$B52="","",编写对白!$B52)</f>
        <v/>
      </c>
      <c r="C53" s="5" t="str">
        <f t="shared" si="7"/>
        <v/>
      </c>
      <c r="D53" t="str">
        <f>IF(编写对白!$F52="","",编写对白!$F52)</f>
        <v/>
      </c>
      <c r="E53" t="str">
        <f>IF(编写对白!D52&lt;0,1,IF(编写对白!$D52="","",0))</f>
        <v/>
      </c>
      <c r="F53" t="str">
        <f>IF(编写对白!$D52="","",编写对白!$D52)</f>
        <v/>
      </c>
      <c r="G53" t="str">
        <f>IF(编写对白!$G52="","",编写对白!$G52)</f>
        <v/>
      </c>
      <c r="H53" t="str">
        <f t="shared" si="8"/>
        <v/>
      </c>
      <c r="I53" t="str">
        <f t="shared" si="9"/>
        <v/>
      </c>
      <c r="J53" t="str">
        <f t="shared" si="10"/>
        <v/>
      </c>
      <c r="K53" t="str">
        <f t="shared" si="11"/>
        <v/>
      </c>
      <c r="L53" t="str">
        <f t="shared" si="12"/>
        <v/>
      </c>
      <c r="M53" t="str">
        <f t="shared" si="13"/>
        <v/>
      </c>
    </row>
    <row r="54" spans="1:13">
      <c r="A54" t="str">
        <f>IF(编写对白!$A53="","",编写对白!$A53)</f>
        <v/>
      </c>
      <c r="B54" t="str">
        <f>IF(编写对白!$B53="","",编写对白!$B53)</f>
        <v/>
      </c>
      <c r="C54" s="5" t="str">
        <f t="shared" si="7"/>
        <v/>
      </c>
      <c r="D54" t="str">
        <f>IF(编写对白!$F53="","",编写对白!$F53)</f>
        <v/>
      </c>
      <c r="E54" t="str">
        <f>IF(编写对白!D53&lt;0,1,IF(编写对白!$D53="","",0))</f>
        <v/>
      </c>
      <c r="F54" t="str">
        <f>IF(编写对白!$D53="","",编写对白!$D53)</f>
        <v/>
      </c>
      <c r="G54" t="str">
        <f>IF(编写对白!$G53="","",编写对白!$G53)</f>
        <v/>
      </c>
      <c r="H54" t="str">
        <f t="shared" si="8"/>
        <v/>
      </c>
      <c r="I54" t="str">
        <f t="shared" si="9"/>
        <v/>
      </c>
      <c r="J54" t="str">
        <f t="shared" si="10"/>
        <v/>
      </c>
      <c r="K54" t="str">
        <f t="shared" si="11"/>
        <v/>
      </c>
      <c r="L54" t="str">
        <f t="shared" si="12"/>
        <v/>
      </c>
      <c r="M54" t="str">
        <f t="shared" si="13"/>
        <v/>
      </c>
    </row>
    <row r="55" spans="1:13">
      <c r="A55" t="str">
        <f>IF(编写对白!$A54="","",编写对白!$A54)</f>
        <v/>
      </c>
      <c r="B55" t="str">
        <f>IF(编写对白!$B54="","",编写对白!$B54)</f>
        <v/>
      </c>
      <c r="C55" s="5" t="str">
        <f t="shared" si="7"/>
        <v/>
      </c>
      <c r="D55" t="str">
        <f>IF(编写对白!$F54="","",编写对白!$F54)</f>
        <v/>
      </c>
      <c r="E55" t="str">
        <f>IF(编写对白!D54&lt;0,1,IF(编写对白!$D54="","",0))</f>
        <v/>
      </c>
      <c r="F55" t="str">
        <f>IF(编写对白!$D54="","",编写对白!$D54)</f>
        <v/>
      </c>
      <c r="G55" t="str">
        <f>IF(编写对白!$G54="","",编写对白!$G54)</f>
        <v/>
      </c>
      <c r="H55" t="str">
        <f t="shared" si="8"/>
        <v/>
      </c>
      <c r="I55" t="str">
        <f t="shared" si="9"/>
        <v/>
      </c>
      <c r="J55" t="str">
        <f t="shared" si="10"/>
        <v/>
      </c>
      <c r="K55" t="str">
        <f t="shared" si="11"/>
        <v/>
      </c>
      <c r="L55" t="str">
        <f t="shared" si="12"/>
        <v/>
      </c>
      <c r="M55" t="str">
        <f t="shared" si="13"/>
        <v/>
      </c>
    </row>
    <row r="56" spans="1:13">
      <c r="A56" t="str">
        <f>IF(编写对白!$A55="","",编写对白!$A55)</f>
        <v/>
      </c>
      <c r="B56" t="str">
        <f>IF(编写对白!$B55="","",编写对白!$B55)</f>
        <v/>
      </c>
      <c r="C56" s="5" t="str">
        <f t="shared" si="7"/>
        <v/>
      </c>
      <c r="D56" t="str">
        <f>IF(编写对白!$F55="","",编写对白!$F55)</f>
        <v/>
      </c>
      <c r="E56" t="str">
        <f>IF(编写对白!D55&lt;0,1,IF(编写对白!$D55="","",0))</f>
        <v/>
      </c>
      <c r="F56" t="str">
        <f>IF(编写对白!$D55="","",编写对白!$D55)</f>
        <v/>
      </c>
      <c r="G56" t="str">
        <f>IF(编写对白!$G55="","",编写对白!$G55)</f>
        <v/>
      </c>
      <c r="H56" t="str">
        <f t="shared" si="8"/>
        <v/>
      </c>
      <c r="I56" t="str">
        <f t="shared" si="9"/>
        <v/>
      </c>
      <c r="J56" t="str">
        <f t="shared" si="10"/>
        <v/>
      </c>
      <c r="K56" t="str">
        <f t="shared" si="11"/>
        <v/>
      </c>
      <c r="L56" t="str">
        <f t="shared" si="12"/>
        <v/>
      </c>
      <c r="M56" t="str">
        <f t="shared" si="13"/>
        <v/>
      </c>
    </row>
    <row r="57" spans="1:13">
      <c r="A57" t="str">
        <f>IF(编写对白!$A56="","",编写对白!$A56)</f>
        <v/>
      </c>
      <c r="B57" t="str">
        <f>IF(编写对白!$B56="","",编写对白!$B56)</f>
        <v/>
      </c>
      <c r="C57" s="5" t="str">
        <f t="shared" si="7"/>
        <v/>
      </c>
      <c r="D57" t="str">
        <f>IF(编写对白!$F56="","",编写对白!$F56)</f>
        <v/>
      </c>
      <c r="E57" t="str">
        <f>IF(编写对白!D56&lt;0,1,IF(编写对白!$D56="","",0))</f>
        <v/>
      </c>
      <c r="F57" t="str">
        <f>IF(编写对白!$D56="","",编写对白!$D56)</f>
        <v/>
      </c>
      <c r="G57" t="str">
        <f>IF(编写对白!$G56="","",编写对白!$G56)</f>
        <v/>
      </c>
      <c r="H57" t="str">
        <f t="shared" si="8"/>
        <v/>
      </c>
      <c r="I57" t="str">
        <f t="shared" si="9"/>
        <v/>
      </c>
      <c r="J57" t="str">
        <f t="shared" si="10"/>
        <v/>
      </c>
      <c r="K57" t="str">
        <f t="shared" si="11"/>
        <v/>
      </c>
      <c r="L57" t="str">
        <f t="shared" si="12"/>
        <v/>
      </c>
      <c r="M57" t="str">
        <f t="shared" si="13"/>
        <v/>
      </c>
    </row>
    <row r="58" spans="1:13">
      <c r="A58" t="str">
        <f>IF(编写对白!$A57="","",编写对白!$A57)</f>
        <v/>
      </c>
      <c r="B58" t="str">
        <f>IF(编写对白!$B57="","",编写对白!$B57)</f>
        <v/>
      </c>
      <c r="C58" s="5" t="str">
        <f t="shared" si="7"/>
        <v/>
      </c>
      <c r="D58" t="str">
        <f>IF(编写对白!$F57="","",编写对白!$F57)</f>
        <v/>
      </c>
      <c r="E58" t="str">
        <f>IF(编写对白!D57&lt;0,1,IF(编写对白!$D57="","",0))</f>
        <v/>
      </c>
      <c r="F58" t="str">
        <f>IF(编写对白!$D57="","",编写对白!$D57)</f>
        <v/>
      </c>
      <c r="G58" t="str">
        <f>IF(编写对白!$G57="","",编写对白!$G57)</f>
        <v/>
      </c>
      <c r="H58" t="str">
        <f t="shared" si="8"/>
        <v/>
      </c>
      <c r="I58" t="str">
        <f t="shared" si="9"/>
        <v/>
      </c>
      <c r="J58" t="str">
        <f t="shared" si="10"/>
        <v/>
      </c>
      <c r="K58" t="str">
        <f t="shared" si="11"/>
        <v/>
      </c>
      <c r="L58" t="str">
        <f t="shared" si="12"/>
        <v/>
      </c>
      <c r="M58" t="str">
        <f t="shared" si="13"/>
        <v/>
      </c>
    </row>
    <row r="59" spans="1:13">
      <c r="A59" t="str">
        <f>IF(编写对白!$A58="","",编写对白!$A58)</f>
        <v/>
      </c>
      <c r="B59" t="str">
        <f>IF(编写对白!$B58="","",编写对白!$B58)</f>
        <v/>
      </c>
      <c r="C59" s="5" t="str">
        <f t="shared" si="7"/>
        <v/>
      </c>
      <c r="D59" t="str">
        <f>IF(编写对白!$F58="","",编写对白!$F58)</f>
        <v/>
      </c>
      <c r="E59" t="str">
        <f>IF(编写对白!D58&lt;0,1,IF(编写对白!$D58="","",0))</f>
        <v/>
      </c>
      <c r="F59" t="str">
        <f>IF(编写对白!$D58="","",编写对白!$D58)</f>
        <v/>
      </c>
      <c r="G59" t="str">
        <f>IF(编写对白!$G58="","",编写对白!$G58)</f>
        <v/>
      </c>
      <c r="H59" t="str">
        <f t="shared" si="8"/>
        <v/>
      </c>
      <c r="I59" t="str">
        <f t="shared" si="9"/>
        <v/>
      </c>
      <c r="J59" t="str">
        <f t="shared" si="10"/>
        <v/>
      </c>
      <c r="K59" t="str">
        <f t="shared" si="11"/>
        <v/>
      </c>
      <c r="L59" t="str">
        <f t="shared" si="12"/>
        <v/>
      </c>
      <c r="M59" t="str">
        <f t="shared" si="13"/>
        <v/>
      </c>
    </row>
    <row r="60" spans="1:13">
      <c r="A60" t="str">
        <f>IF(编写对白!$A59="","",编写对白!$A59)</f>
        <v/>
      </c>
      <c r="B60" t="str">
        <f>IF(编写对白!$B59="","",编写对白!$B59)</f>
        <v/>
      </c>
      <c r="C60" s="5" t="str">
        <f t="shared" si="7"/>
        <v/>
      </c>
      <c r="D60" t="str">
        <f>IF(编写对白!$F59="","",编写对白!$F59)</f>
        <v/>
      </c>
      <c r="E60" t="str">
        <f>IF(编写对白!D59&lt;0,1,IF(编写对白!$D59="","",0))</f>
        <v/>
      </c>
      <c r="F60" t="str">
        <f>IF(编写对白!$D59="","",编写对白!$D59)</f>
        <v/>
      </c>
      <c r="G60" t="str">
        <f>IF(编写对白!$G59="","",编写对白!$G59)</f>
        <v/>
      </c>
      <c r="H60" t="str">
        <f t="shared" si="8"/>
        <v/>
      </c>
      <c r="I60" t="str">
        <f t="shared" si="9"/>
        <v/>
      </c>
      <c r="J60" t="str">
        <f t="shared" si="10"/>
        <v/>
      </c>
      <c r="K60" t="str">
        <f t="shared" si="11"/>
        <v/>
      </c>
      <c r="L60" t="str">
        <f t="shared" si="12"/>
        <v/>
      </c>
      <c r="M60" t="str">
        <f t="shared" si="13"/>
        <v/>
      </c>
    </row>
    <row r="61" spans="1:13">
      <c r="A61" t="str">
        <f>IF(编写对白!$A60="","",编写对白!$A60)</f>
        <v/>
      </c>
      <c r="B61" t="str">
        <f>IF(编写对白!$B60="","",编写对白!$B60)</f>
        <v/>
      </c>
      <c r="C61" s="5" t="str">
        <f t="shared" si="7"/>
        <v/>
      </c>
      <c r="D61" t="str">
        <f>IF(编写对白!$F60="","",编写对白!$F60)</f>
        <v/>
      </c>
      <c r="E61" t="str">
        <f>IF(编写对白!D60&lt;0,1,IF(编写对白!$D60="","",0))</f>
        <v/>
      </c>
      <c r="F61" t="str">
        <f>IF(编写对白!$D60="","",编写对白!$D60)</f>
        <v/>
      </c>
      <c r="G61" t="str">
        <f>IF(编写对白!$G60="","",编写对白!$G60)</f>
        <v/>
      </c>
      <c r="H61" t="str">
        <f t="shared" si="8"/>
        <v/>
      </c>
      <c r="I61" t="str">
        <f t="shared" si="9"/>
        <v/>
      </c>
      <c r="J61" t="str">
        <f t="shared" si="10"/>
        <v/>
      </c>
      <c r="K61" t="str">
        <f t="shared" si="11"/>
        <v/>
      </c>
      <c r="L61" t="str">
        <f t="shared" si="12"/>
        <v/>
      </c>
      <c r="M61" t="str">
        <f t="shared" si="13"/>
        <v/>
      </c>
    </row>
    <row r="62" spans="1:13">
      <c r="A62" t="str">
        <f>IF(编写对白!$A61="","",编写对白!$A61)</f>
        <v/>
      </c>
      <c r="B62" t="str">
        <f>IF(编写对白!$B61="","",编写对白!$B61)</f>
        <v/>
      </c>
      <c r="C62" s="5" t="str">
        <f t="shared" si="7"/>
        <v/>
      </c>
      <c r="D62" t="str">
        <f>IF(编写对白!$F61="","",编写对白!$F61)</f>
        <v/>
      </c>
      <c r="E62" t="str">
        <f>IF(编写对白!D61&lt;0,1,IF(编写对白!$D61="","",0))</f>
        <v/>
      </c>
      <c r="F62" t="str">
        <f>IF(编写对白!$D61="","",编写对白!$D61)</f>
        <v/>
      </c>
      <c r="G62" t="str">
        <f>IF(编写对白!$G61="","",编写对白!$G61)</f>
        <v/>
      </c>
      <c r="H62" t="str">
        <f t="shared" si="8"/>
        <v/>
      </c>
      <c r="I62" t="str">
        <f t="shared" si="9"/>
        <v/>
      </c>
      <c r="J62" t="str">
        <f t="shared" si="10"/>
        <v/>
      </c>
      <c r="K62" t="str">
        <f t="shared" si="11"/>
        <v/>
      </c>
      <c r="L62" t="str">
        <f t="shared" si="12"/>
        <v/>
      </c>
      <c r="M62" t="str">
        <f t="shared" si="13"/>
        <v/>
      </c>
    </row>
    <row r="63" spans="1:13">
      <c r="A63" t="str">
        <f>IF(编写对白!$A62="","",编写对白!$A62)</f>
        <v/>
      </c>
      <c r="B63" t="str">
        <f>IF(编写对白!$B62="","",编写对白!$B62)</f>
        <v/>
      </c>
      <c r="C63" s="5" t="str">
        <f t="shared" si="7"/>
        <v/>
      </c>
      <c r="D63" t="str">
        <f>IF(编写对白!$F62="","",编写对白!$F62)</f>
        <v/>
      </c>
      <c r="E63" t="str">
        <f>IF(编写对白!D62&lt;0,1,IF(编写对白!$D62="","",0))</f>
        <v/>
      </c>
      <c r="F63" t="str">
        <f>IF(编写对白!$D62="","",编写对白!$D62)</f>
        <v/>
      </c>
      <c r="G63" t="str">
        <f>IF(编写对白!$G62="","",编写对白!$G62)</f>
        <v/>
      </c>
      <c r="H63" t="str">
        <f t="shared" si="8"/>
        <v/>
      </c>
      <c r="I63" t="str">
        <f t="shared" si="9"/>
        <v/>
      </c>
      <c r="J63" t="str">
        <f t="shared" si="10"/>
        <v/>
      </c>
      <c r="K63" t="str">
        <f t="shared" si="11"/>
        <v/>
      </c>
      <c r="L63" t="str">
        <f t="shared" si="12"/>
        <v/>
      </c>
      <c r="M63" t="str">
        <f t="shared" si="13"/>
        <v/>
      </c>
    </row>
    <row r="64" spans="1:13">
      <c r="A64" t="str">
        <f>IF(编写对白!$A63="","",编写对白!$A63)</f>
        <v/>
      </c>
      <c r="B64" t="str">
        <f>IF(编写对白!$B63="","",编写对白!$B63)</f>
        <v/>
      </c>
      <c r="C64" s="5" t="str">
        <f t="shared" si="7"/>
        <v/>
      </c>
      <c r="D64" t="str">
        <f>IF(编写对白!$F63="","",编写对白!$F63)</f>
        <v/>
      </c>
      <c r="E64" t="str">
        <f>IF(编写对白!D63&lt;0,1,IF(编写对白!$D63="","",0))</f>
        <v/>
      </c>
      <c r="F64" t="str">
        <f>IF(编写对白!$D63="","",编写对白!$D63)</f>
        <v/>
      </c>
      <c r="G64" t="str">
        <f>IF(编写对白!$G63="","",编写对白!$G63)</f>
        <v/>
      </c>
      <c r="H64" t="str">
        <f t="shared" si="8"/>
        <v/>
      </c>
      <c r="I64" t="str">
        <f t="shared" si="9"/>
        <v/>
      </c>
      <c r="J64" t="str">
        <f t="shared" si="10"/>
        <v/>
      </c>
      <c r="K64" t="str">
        <f t="shared" si="11"/>
        <v/>
      </c>
      <c r="L64" t="str">
        <f t="shared" si="12"/>
        <v/>
      </c>
      <c r="M64" t="str">
        <f t="shared" si="13"/>
        <v/>
      </c>
    </row>
    <row r="65" spans="1:13">
      <c r="A65" t="str">
        <f>IF(编写对白!$A64="","",编写对白!$A64)</f>
        <v/>
      </c>
      <c r="B65" t="str">
        <f>IF(编写对白!$B64="","",编写对白!$B64)</f>
        <v/>
      </c>
      <c r="C65" s="5" t="str">
        <f t="shared" si="7"/>
        <v/>
      </c>
      <c r="D65" t="str">
        <f>IF(编写对白!$F64="","",编写对白!$F64)</f>
        <v/>
      </c>
      <c r="E65" t="str">
        <f>IF(编写对白!D64&lt;0,1,IF(编写对白!$D64="","",0))</f>
        <v/>
      </c>
      <c r="F65" t="str">
        <f>IF(编写对白!$D64="","",编写对白!$D64)</f>
        <v/>
      </c>
      <c r="G65" t="str">
        <f>IF(编写对白!$G64="","",编写对白!$G64)</f>
        <v/>
      </c>
      <c r="H65" t="str">
        <f t="shared" si="8"/>
        <v/>
      </c>
      <c r="I65" t="str">
        <f t="shared" si="9"/>
        <v/>
      </c>
      <c r="J65" t="str">
        <f t="shared" si="10"/>
        <v/>
      </c>
      <c r="K65" t="str">
        <f t="shared" si="11"/>
        <v/>
      </c>
      <c r="L65" t="str">
        <f t="shared" si="12"/>
        <v/>
      </c>
      <c r="M65" t="str">
        <f t="shared" si="13"/>
        <v/>
      </c>
    </row>
    <row r="66" spans="1:13">
      <c r="A66" t="str">
        <f>IF(编写对白!$A65="","",编写对白!$A65)</f>
        <v/>
      </c>
      <c r="B66" t="str">
        <f>IF(编写对白!$B65="","",编写对白!$B65)</f>
        <v/>
      </c>
      <c r="C66" s="5" t="str">
        <f t="shared" si="7"/>
        <v/>
      </c>
      <c r="D66" t="str">
        <f>IF(编写对白!$F65="","",编写对白!$F65)</f>
        <v/>
      </c>
      <c r="E66" t="str">
        <f>IF(编写对白!D65&lt;0,1,IF(编写对白!$D65="","",0))</f>
        <v/>
      </c>
      <c r="F66" t="str">
        <f>IF(编写对白!$D65="","",编写对白!$D65)</f>
        <v/>
      </c>
      <c r="G66" t="str">
        <f>IF(编写对白!$G65="","",编写对白!$G65)</f>
        <v/>
      </c>
      <c r="H66" t="str">
        <f t="shared" si="8"/>
        <v/>
      </c>
      <c r="I66" t="str">
        <f t="shared" si="9"/>
        <v/>
      </c>
      <c r="J66" t="str">
        <f t="shared" si="10"/>
        <v/>
      </c>
      <c r="K66" t="str">
        <f t="shared" si="11"/>
        <v/>
      </c>
      <c r="L66" t="str">
        <f t="shared" si="12"/>
        <v/>
      </c>
      <c r="M66" t="str">
        <f t="shared" si="13"/>
        <v/>
      </c>
    </row>
    <row r="67" spans="1:13">
      <c r="A67" t="str">
        <f>IF(编写对白!$A66="","",编写对白!$A66)</f>
        <v/>
      </c>
      <c r="B67" t="str">
        <f>IF(编写对白!$B66="","",编写对白!$B66)</f>
        <v/>
      </c>
      <c r="C67" s="5" t="str">
        <f t="shared" si="7"/>
        <v/>
      </c>
      <c r="D67" t="str">
        <f>IF(编写对白!$F66="","",编写对白!$F66)</f>
        <v/>
      </c>
      <c r="E67" t="str">
        <f>IF(编写对白!D66&lt;0,1,IF(编写对白!$D66="","",0))</f>
        <v/>
      </c>
      <c r="F67" t="str">
        <f>IF(编写对白!$D66="","",编写对白!$D66)</f>
        <v/>
      </c>
      <c r="G67" t="str">
        <f>IF(编写对白!$G66="","",编写对白!$G66)</f>
        <v/>
      </c>
      <c r="H67" t="str">
        <f t="shared" si="8"/>
        <v/>
      </c>
      <c r="I67" t="str">
        <f t="shared" si="9"/>
        <v/>
      </c>
      <c r="J67" t="str">
        <f t="shared" si="10"/>
        <v/>
      </c>
      <c r="K67" t="str">
        <f t="shared" si="11"/>
        <v/>
      </c>
      <c r="L67" t="str">
        <f t="shared" si="12"/>
        <v/>
      </c>
      <c r="M67" t="str">
        <f t="shared" si="13"/>
        <v/>
      </c>
    </row>
    <row r="68" spans="1:13">
      <c r="A68" t="str">
        <f>IF(编写对白!$A67="","",编写对白!$A67)</f>
        <v/>
      </c>
      <c r="B68" t="str">
        <f>IF(编写对白!$B67="","",编写对白!$B67)</f>
        <v/>
      </c>
      <c r="C68" s="5" t="str">
        <f t="shared" si="7"/>
        <v/>
      </c>
      <c r="D68" t="str">
        <f>IF(编写对白!$F67="","",编写对白!$F67)</f>
        <v/>
      </c>
      <c r="E68" t="str">
        <f>IF(编写对白!D67&lt;0,1,IF(编写对白!$D67="","",0))</f>
        <v/>
      </c>
      <c r="F68" t="str">
        <f>IF(编写对白!$D67="","",编写对白!$D67)</f>
        <v/>
      </c>
      <c r="G68" t="str">
        <f>IF(编写对白!$G67="","",编写对白!$G67)</f>
        <v/>
      </c>
      <c r="H68" t="str">
        <f t="shared" si="8"/>
        <v/>
      </c>
      <c r="I68" t="str">
        <f t="shared" si="9"/>
        <v/>
      </c>
      <c r="J68" t="str">
        <f t="shared" si="10"/>
        <v/>
      </c>
      <c r="K68" t="str">
        <f t="shared" si="11"/>
        <v/>
      </c>
      <c r="L68" t="str">
        <f t="shared" si="12"/>
        <v/>
      </c>
      <c r="M68" t="str">
        <f t="shared" si="13"/>
        <v/>
      </c>
    </row>
    <row r="69" spans="1:13">
      <c r="A69" t="str">
        <f>IF(编写对白!$A68="","",编写对白!$A68)</f>
        <v/>
      </c>
      <c r="B69" t="str">
        <f>IF(编写对白!$B68="","",编写对白!$B68)</f>
        <v/>
      </c>
      <c r="C69" s="5" t="str">
        <f t="shared" ref="C69:C100" si="14">IF($A69="","",$A69/10)</f>
        <v/>
      </c>
      <c r="D69" t="str">
        <f>IF(编写对白!$F68="","",编写对白!$F68)</f>
        <v/>
      </c>
      <c r="E69" t="str">
        <f>IF(编写对白!D68&lt;0,1,IF(编写对白!$D68="","",0))</f>
        <v/>
      </c>
      <c r="F69" t="str">
        <f>IF(编写对白!$D68="","",编写对白!$D68)</f>
        <v/>
      </c>
      <c r="G69" t="str">
        <f>IF(编写对白!$G68="","",编写对白!$G68)</f>
        <v/>
      </c>
      <c r="H69" t="str">
        <f t="shared" ref="H69:H100" si="15">IF($A69="","",1)</f>
        <v/>
      </c>
      <c r="I69" t="str">
        <f t="shared" ref="I69:I100" si="16">IF($G69="","",ROUNDUP(LEN($G69)/3+1,0))</f>
        <v/>
      </c>
      <c r="J69" t="str">
        <f t="shared" ref="J69:J100" si="17">IF($A69="","",1)</f>
        <v/>
      </c>
      <c r="K69" t="str">
        <f t="shared" ref="K69:K100" si="18">IF($A69="","",-1)</f>
        <v/>
      </c>
      <c r="L69" t="str">
        <f t="shared" ref="L69:L100" si="19">IF($A69="","",-1)</f>
        <v/>
      </c>
      <c r="M69" t="str">
        <f t="shared" ref="M69:M100" si="20">IF($A69="","",-1)</f>
        <v/>
      </c>
    </row>
    <row r="70" spans="1:13">
      <c r="A70" t="str">
        <f>IF(编写对白!$A69="","",编写对白!$A69)</f>
        <v/>
      </c>
      <c r="B70" t="str">
        <f>IF(编写对白!$B69="","",编写对白!$B69)</f>
        <v/>
      </c>
      <c r="C70" s="5" t="str">
        <f t="shared" si="14"/>
        <v/>
      </c>
      <c r="D70" t="str">
        <f>IF(编写对白!$F69="","",编写对白!$F69)</f>
        <v/>
      </c>
      <c r="E70" t="str">
        <f>IF(编写对白!D69&lt;0,1,IF(编写对白!$D69="","",0))</f>
        <v/>
      </c>
      <c r="F70" t="str">
        <f>IF(编写对白!$D69="","",编写对白!$D69)</f>
        <v/>
      </c>
      <c r="G70" t="str">
        <f>IF(编写对白!$G69="","",编写对白!$G69)</f>
        <v/>
      </c>
      <c r="H70" t="str">
        <f t="shared" si="15"/>
        <v/>
      </c>
      <c r="I70" t="str">
        <f t="shared" si="16"/>
        <v/>
      </c>
      <c r="J70" t="str">
        <f t="shared" si="17"/>
        <v/>
      </c>
      <c r="K70" t="str">
        <f t="shared" si="18"/>
        <v/>
      </c>
      <c r="L70" t="str">
        <f t="shared" si="19"/>
        <v/>
      </c>
      <c r="M70" t="str">
        <f t="shared" si="20"/>
        <v/>
      </c>
    </row>
    <row r="71" spans="1:13">
      <c r="A71" t="str">
        <f>IF(编写对白!$A70="","",编写对白!$A70)</f>
        <v/>
      </c>
      <c r="B71" t="str">
        <f>IF(编写对白!$B70="","",编写对白!$B70)</f>
        <v/>
      </c>
      <c r="C71" s="5" t="str">
        <f t="shared" si="14"/>
        <v/>
      </c>
      <c r="D71" t="str">
        <f>IF(编写对白!$F70="","",编写对白!$F70)</f>
        <v/>
      </c>
      <c r="E71" t="str">
        <f>IF(编写对白!D70&lt;0,1,IF(编写对白!$D70="","",0))</f>
        <v/>
      </c>
      <c r="F71" t="str">
        <f>IF(编写对白!$D70="","",编写对白!$D70)</f>
        <v/>
      </c>
      <c r="G71" t="str">
        <f>IF(编写对白!$G70="","",编写对白!$G70)</f>
        <v/>
      </c>
      <c r="H71" t="str">
        <f t="shared" si="15"/>
        <v/>
      </c>
      <c r="I71" t="str">
        <f t="shared" si="16"/>
        <v/>
      </c>
      <c r="J71" t="str">
        <f t="shared" si="17"/>
        <v/>
      </c>
      <c r="K71" t="str">
        <f t="shared" si="18"/>
        <v/>
      </c>
      <c r="L71" t="str">
        <f t="shared" si="19"/>
        <v/>
      </c>
      <c r="M71" t="str">
        <f t="shared" si="20"/>
        <v/>
      </c>
    </row>
    <row r="72" spans="1:13">
      <c r="A72" t="str">
        <f>IF(编写对白!$A71="","",编写对白!$A71)</f>
        <v/>
      </c>
      <c r="B72" t="str">
        <f>IF(编写对白!$B71="","",编写对白!$B71)</f>
        <v/>
      </c>
      <c r="C72" s="5" t="str">
        <f t="shared" si="14"/>
        <v/>
      </c>
      <c r="D72" t="str">
        <f>IF(编写对白!$F71="","",编写对白!$F71)</f>
        <v/>
      </c>
      <c r="E72" t="str">
        <f>IF(编写对白!D71&lt;0,1,IF(编写对白!$D71="","",0))</f>
        <v/>
      </c>
      <c r="F72" t="str">
        <f>IF(编写对白!$D71="","",编写对白!$D71)</f>
        <v/>
      </c>
      <c r="G72" t="str">
        <f>IF(编写对白!$G71="","",编写对白!$G71)</f>
        <v/>
      </c>
      <c r="H72" t="str">
        <f t="shared" si="15"/>
        <v/>
      </c>
      <c r="I72" t="str">
        <f t="shared" si="16"/>
        <v/>
      </c>
      <c r="J72" t="str">
        <f t="shared" si="17"/>
        <v/>
      </c>
      <c r="K72" t="str">
        <f t="shared" si="18"/>
        <v/>
      </c>
      <c r="L72" t="str">
        <f t="shared" si="19"/>
        <v/>
      </c>
      <c r="M72" t="str">
        <f t="shared" si="20"/>
        <v/>
      </c>
    </row>
    <row r="73" spans="1:13">
      <c r="A73" t="str">
        <f>IF(编写对白!$A72="","",编写对白!$A72)</f>
        <v/>
      </c>
      <c r="B73" t="str">
        <f>IF(编写对白!$B72="","",编写对白!$B72)</f>
        <v/>
      </c>
      <c r="C73" s="5" t="str">
        <f t="shared" si="14"/>
        <v/>
      </c>
      <c r="D73" t="str">
        <f>IF(编写对白!$F72="","",编写对白!$F72)</f>
        <v/>
      </c>
      <c r="E73" t="str">
        <f>IF(编写对白!D72&lt;0,1,IF(编写对白!$D72="","",0))</f>
        <v/>
      </c>
      <c r="F73" t="str">
        <f>IF(编写对白!$D72="","",编写对白!$D72)</f>
        <v/>
      </c>
      <c r="G73" t="str">
        <f>IF(编写对白!$G72="","",编写对白!$G72)</f>
        <v/>
      </c>
      <c r="H73" t="str">
        <f t="shared" si="15"/>
        <v/>
      </c>
      <c r="I73" t="str">
        <f t="shared" si="16"/>
        <v/>
      </c>
      <c r="J73" t="str">
        <f t="shared" si="17"/>
        <v/>
      </c>
      <c r="K73" t="str">
        <f t="shared" si="18"/>
        <v/>
      </c>
      <c r="L73" t="str">
        <f t="shared" si="19"/>
        <v/>
      </c>
      <c r="M73" t="str">
        <f t="shared" si="20"/>
        <v/>
      </c>
    </row>
    <row r="74" spans="1:13">
      <c r="A74" t="str">
        <f>IF(编写对白!$A73="","",编写对白!$A73)</f>
        <v/>
      </c>
      <c r="B74" t="str">
        <f>IF(编写对白!$B73="","",编写对白!$B73)</f>
        <v/>
      </c>
      <c r="C74" s="5" t="str">
        <f t="shared" si="14"/>
        <v/>
      </c>
      <c r="D74" t="str">
        <f>IF(编写对白!$F73="","",编写对白!$F73)</f>
        <v/>
      </c>
      <c r="E74" t="str">
        <f>IF(编写对白!D73&lt;0,1,IF(编写对白!$D73="","",0))</f>
        <v/>
      </c>
      <c r="F74" t="str">
        <f>IF(编写对白!$D73="","",编写对白!$D73)</f>
        <v/>
      </c>
      <c r="G74" t="str">
        <f>IF(编写对白!$G73="","",编写对白!$G73)</f>
        <v/>
      </c>
      <c r="H74" t="str">
        <f t="shared" si="15"/>
        <v/>
      </c>
      <c r="I74" t="str">
        <f t="shared" si="16"/>
        <v/>
      </c>
      <c r="J74" t="str">
        <f t="shared" si="17"/>
        <v/>
      </c>
      <c r="K74" t="str">
        <f t="shared" si="18"/>
        <v/>
      </c>
      <c r="L74" t="str">
        <f t="shared" si="19"/>
        <v/>
      </c>
      <c r="M74" t="str">
        <f t="shared" si="20"/>
        <v/>
      </c>
    </row>
    <row r="75" spans="1:13">
      <c r="A75" t="str">
        <f>IF(编写对白!$A74="","",编写对白!$A74)</f>
        <v/>
      </c>
      <c r="B75" t="str">
        <f>IF(编写对白!$B74="","",编写对白!$B74)</f>
        <v/>
      </c>
      <c r="C75" s="5" t="str">
        <f t="shared" si="14"/>
        <v/>
      </c>
      <c r="D75" t="str">
        <f>IF(编写对白!$F74="","",编写对白!$F74)</f>
        <v/>
      </c>
      <c r="E75" t="str">
        <f>IF(编写对白!D74&lt;0,1,IF(编写对白!$D74="","",0))</f>
        <v/>
      </c>
      <c r="F75" t="str">
        <f>IF(编写对白!$D74="","",编写对白!$D74)</f>
        <v/>
      </c>
      <c r="G75" t="str">
        <f>IF(编写对白!$G74="","",编写对白!$G74)</f>
        <v/>
      </c>
      <c r="H75" t="str">
        <f t="shared" si="15"/>
        <v/>
      </c>
      <c r="I75" t="str">
        <f t="shared" si="16"/>
        <v/>
      </c>
      <c r="J75" t="str">
        <f t="shared" si="17"/>
        <v/>
      </c>
      <c r="K75" t="str">
        <f t="shared" si="18"/>
        <v/>
      </c>
      <c r="L75" t="str">
        <f t="shared" si="19"/>
        <v/>
      </c>
      <c r="M75" t="str">
        <f t="shared" si="20"/>
        <v/>
      </c>
    </row>
    <row r="76" spans="1:13">
      <c r="A76" t="str">
        <f>IF(编写对白!$A75="","",编写对白!$A75)</f>
        <v/>
      </c>
      <c r="B76" t="str">
        <f>IF(编写对白!$B75="","",编写对白!$B75)</f>
        <v/>
      </c>
      <c r="C76" s="5" t="str">
        <f t="shared" si="14"/>
        <v/>
      </c>
      <c r="D76" t="str">
        <f>IF(编写对白!$F75="","",编写对白!$F75)</f>
        <v/>
      </c>
      <c r="E76" t="str">
        <f>IF(编写对白!D75&lt;0,1,IF(编写对白!$D75="","",0))</f>
        <v/>
      </c>
      <c r="F76" t="str">
        <f>IF(编写对白!$D75="","",编写对白!$D75)</f>
        <v/>
      </c>
      <c r="G76" t="str">
        <f>IF(编写对白!$G75="","",编写对白!$G75)</f>
        <v/>
      </c>
      <c r="H76" t="str">
        <f t="shared" si="15"/>
        <v/>
      </c>
      <c r="I76" t="str">
        <f t="shared" si="16"/>
        <v/>
      </c>
      <c r="J76" t="str">
        <f t="shared" si="17"/>
        <v/>
      </c>
      <c r="K76" t="str">
        <f t="shared" si="18"/>
        <v/>
      </c>
      <c r="L76" t="str">
        <f t="shared" si="19"/>
        <v/>
      </c>
      <c r="M76" t="str">
        <f t="shared" si="20"/>
        <v/>
      </c>
    </row>
    <row r="77" spans="1:13">
      <c r="A77" t="str">
        <f>IF(编写对白!$A76="","",编写对白!$A76)</f>
        <v/>
      </c>
      <c r="B77" t="str">
        <f>IF(编写对白!$B76="","",编写对白!$B76)</f>
        <v/>
      </c>
      <c r="C77" s="5" t="str">
        <f t="shared" si="14"/>
        <v/>
      </c>
      <c r="D77" t="str">
        <f>IF(编写对白!$F76="","",编写对白!$F76)</f>
        <v/>
      </c>
      <c r="E77" t="str">
        <f>IF(编写对白!D76&lt;0,1,IF(编写对白!$D76="","",0))</f>
        <v/>
      </c>
      <c r="F77" t="str">
        <f>IF(编写对白!$D76="","",编写对白!$D76)</f>
        <v/>
      </c>
      <c r="G77" t="str">
        <f>IF(编写对白!$G76="","",编写对白!$G76)</f>
        <v/>
      </c>
      <c r="H77" t="str">
        <f t="shared" si="15"/>
        <v/>
      </c>
      <c r="I77" t="str">
        <f t="shared" si="16"/>
        <v/>
      </c>
      <c r="J77" t="str">
        <f t="shared" si="17"/>
        <v/>
      </c>
      <c r="K77" t="str">
        <f t="shared" si="18"/>
        <v/>
      </c>
      <c r="L77" t="str">
        <f t="shared" si="19"/>
        <v/>
      </c>
      <c r="M77" t="str">
        <f t="shared" si="20"/>
        <v/>
      </c>
    </row>
    <row r="78" spans="1:13">
      <c r="A78" t="str">
        <f>IF(编写对白!$A77="","",编写对白!$A77)</f>
        <v/>
      </c>
      <c r="B78" t="str">
        <f>IF(编写对白!$B77="","",编写对白!$B77)</f>
        <v/>
      </c>
      <c r="C78" s="5" t="str">
        <f t="shared" si="14"/>
        <v/>
      </c>
      <c r="D78" t="str">
        <f>IF(编写对白!$F77="","",编写对白!$F77)</f>
        <v/>
      </c>
      <c r="E78" t="str">
        <f>IF(编写对白!D77&lt;0,1,IF(编写对白!$D77="","",0))</f>
        <v/>
      </c>
      <c r="F78" t="str">
        <f>IF(编写对白!$D77="","",编写对白!$D77)</f>
        <v/>
      </c>
      <c r="G78" t="str">
        <f>IF(编写对白!$G77="","",编写对白!$G77)</f>
        <v/>
      </c>
      <c r="H78" t="str">
        <f t="shared" si="15"/>
        <v/>
      </c>
      <c r="I78" t="str">
        <f t="shared" si="16"/>
        <v/>
      </c>
      <c r="J78" t="str">
        <f t="shared" si="17"/>
        <v/>
      </c>
      <c r="K78" t="str">
        <f t="shared" si="18"/>
        <v/>
      </c>
      <c r="L78" t="str">
        <f t="shared" si="19"/>
        <v/>
      </c>
      <c r="M78" t="str">
        <f t="shared" si="20"/>
        <v/>
      </c>
    </row>
    <row r="79" spans="1:13">
      <c r="A79" t="str">
        <f>IF(编写对白!$A78="","",编写对白!$A78)</f>
        <v/>
      </c>
      <c r="B79" t="str">
        <f>IF(编写对白!$B78="","",编写对白!$B78)</f>
        <v/>
      </c>
      <c r="C79" s="5" t="str">
        <f t="shared" si="14"/>
        <v/>
      </c>
      <c r="D79" t="str">
        <f>IF(编写对白!$F78="","",编写对白!$F78)</f>
        <v/>
      </c>
      <c r="E79" t="str">
        <f>IF(编写对白!D78&lt;0,1,IF(编写对白!$D78="","",0))</f>
        <v/>
      </c>
      <c r="F79" t="str">
        <f>IF(编写对白!$D78="","",编写对白!$D78)</f>
        <v/>
      </c>
      <c r="G79" t="str">
        <f>IF(编写对白!$G78="","",编写对白!$G78)</f>
        <v/>
      </c>
      <c r="H79" t="str">
        <f t="shared" si="15"/>
        <v/>
      </c>
      <c r="I79" t="str">
        <f t="shared" si="16"/>
        <v/>
      </c>
      <c r="J79" t="str">
        <f t="shared" si="17"/>
        <v/>
      </c>
      <c r="K79" t="str">
        <f t="shared" si="18"/>
        <v/>
      </c>
      <c r="L79" t="str">
        <f t="shared" si="19"/>
        <v/>
      </c>
      <c r="M79" t="str">
        <f t="shared" si="20"/>
        <v/>
      </c>
    </row>
    <row r="80" spans="1:13">
      <c r="A80" t="str">
        <f>IF(编写对白!$A79="","",编写对白!$A79)</f>
        <v/>
      </c>
      <c r="B80" t="str">
        <f>IF(编写对白!$B79="","",编写对白!$B79)</f>
        <v/>
      </c>
      <c r="C80" s="5" t="str">
        <f t="shared" si="14"/>
        <v/>
      </c>
      <c r="D80" t="str">
        <f>IF(编写对白!$F79="","",编写对白!$F79)</f>
        <v/>
      </c>
      <c r="E80" t="str">
        <f>IF(编写对白!D79&lt;0,1,IF(编写对白!$D79="","",0))</f>
        <v/>
      </c>
      <c r="F80" t="str">
        <f>IF(编写对白!$D79="","",编写对白!$D79)</f>
        <v/>
      </c>
      <c r="G80" t="str">
        <f>IF(编写对白!$G79="","",编写对白!$G79)</f>
        <v/>
      </c>
      <c r="H80" t="str">
        <f t="shared" si="15"/>
        <v/>
      </c>
      <c r="I80" t="str">
        <f t="shared" si="16"/>
        <v/>
      </c>
      <c r="J80" t="str">
        <f t="shared" si="17"/>
        <v/>
      </c>
      <c r="K80" t="str">
        <f t="shared" si="18"/>
        <v/>
      </c>
      <c r="L80" t="str">
        <f t="shared" si="19"/>
        <v/>
      </c>
      <c r="M80" t="str">
        <f t="shared" si="20"/>
        <v/>
      </c>
    </row>
    <row r="81" spans="1:13">
      <c r="A81" t="str">
        <f>IF(编写对白!$A80="","",编写对白!$A80)</f>
        <v/>
      </c>
      <c r="B81" t="str">
        <f>IF(编写对白!$B80="","",编写对白!$B80)</f>
        <v/>
      </c>
      <c r="C81" s="5" t="str">
        <f t="shared" si="14"/>
        <v/>
      </c>
      <c r="D81" t="str">
        <f>IF(编写对白!$F80="","",编写对白!$F80)</f>
        <v/>
      </c>
      <c r="E81" t="str">
        <f>IF(编写对白!D80&lt;0,1,IF(编写对白!$D80="","",0))</f>
        <v/>
      </c>
      <c r="F81" t="str">
        <f>IF(编写对白!$D80="","",编写对白!$D80)</f>
        <v/>
      </c>
      <c r="G81" t="str">
        <f>IF(编写对白!$G80="","",编写对白!$G80)</f>
        <v/>
      </c>
      <c r="H81" t="str">
        <f t="shared" si="15"/>
        <v/>
      </c>
      <c r="I81" t="str">
        <f t="shared" si="16"/>
        <v/>
      </c>
      <c r="J81" t="str">
        <f t="shared" si="17"/>
        <v/>
      </c>
      <c r="K81" t="str">
        <f t="shared" si="18"/>
        <v/>
      </c>
      <c r="L81" t="str">
        <f t="shared" si="19"/>
        <v/>
      </c>
      <c r="M81" t="str">
        <f t="shared" si="20"/>
        <v/>
      </c>
    </row>
    <row r="82" spans="1:13">
      <c r="A82" t="str">
        <f>IF(编写对白!$A81="","",编写对白!$A81)</f>
        <v/>
      </c>
      <c r="B82" t="str">
        <f>IF(编写对白!$B81="","",编写对白!$B81)</f>
        <v/>
      </c>
      <c r="C82" s="5" t="str">
        <f t="shared" si="14"/>
        <v/>
      </c>
      <c r="D82" t="str">
        <f>IF(编写对白!$F81="","",编写对白!$F81)</f>
        <v/>
      </c>
      <c r="E82" t="str">
        <f>IF(编写对白!D81&lt;0,1,IF(编写对白!$D81="","",0))</f>
        <v/>
      </c>
      <c r="F82" t="str">
        <f>IF(编写对白!$D81="","",编写对白!$D81)</f>
        <v/>
      </c>
      <c r="G82" t="str">
        <f>IF(编写对白!$G81="","",编写对白!$G81)</f>
        <v/>
      </c>
      <c r="H82" t="str">
        <f t="shared" si="15"/>
        <v/>
      </c>
      <c r="I82" t="str">
        <f t="shared" si="16"/>
        <v/>
      </c>
      <c r="J82" t="str">
        <f t="shared" si="17"/>
        <v/>
      </c>
      <c r="K82" t="str">
        <f t="shared" si="18"/>
        <v/>
      </c>
      <c r="L82" t="str">
        <f t="shared" si="19"/>
        <v/>
      </c>
      <c r="M82" t="str">
        <f t="shared" si="20"/>
        <v/>
      </c>
    </row>
    <row r="83" spans="1:13">
      <c r="A83" t="str">
        <f>IF(编写对白!$A82="","",编写对白!$A82)</f>
        <v/>
      </c>
      <c r="B83" t="str">
        <f>IF(编写对白!$B82="","",编写对白!$B82)</f>
        <v/>
      </c>
      <c r="C83" s="5" t="str">
        <f t="shared" si="14"/>
        <v/>
      </c>
      <c r="D83" t="str">
        <f>IF(编写对白!$F82="","",编写对白!$F82)</f>
        <v/>
      </c>
      <c r="E83" t="str">
        <f>IF(编写对白!D82&lt;0,1,IF(编写对白!$D82="","",0))</f>
        <v/>
      </c>
      <c r="F83" t="str">
        <f>IF(编写对白!$D82="","",编写对白!$D82)</f>
        <v/>
      </c>
      <c r="G83" t="str">
        <f>IF(编写对白!$G82="","",编写对白!$G82)</f>
        <v/>
      </c>
      <c r="H83" t="str">
        <f t="shared" si="15"/>
        <v/>
      </c>
      <c r="I83" t="str">
        <f t="shared" si="16"/>
        <v/>
      </c>
      <c r="J83" t="str">
        <f t="shared" si="17"/>
        <v/>
      </c>
      <c r="K83" t="str">
        <f t="shared" si="18"/>
        <v/>
      </c>
      <c r="L83" t="str">
        <f t="shared" si="19"/>
        <v/>
      </c>
      <c r="M83" t="str">
        <f t="shared" si="20"/>
        <v/>
      </c>
    </row>
    <row r="84" spans="1:13">
      <c r="A84" t="str">
        <f>IF(编写对白!$A83="","",编写对白!$A83)</f>
        <v/>
      </c>
      <c r="B84" t="str">
        <f>IF(编写对白!$B83="","",编写对白!$B83)</f>
        <v/>
      </c>
      <c r="C84" s="5" t="str">
        <f t="shared" si="14"/>
        <v/>
      </c>
      <c r="D84" t="str">
        <f>IF(编写对白!$F83="","",编写对白!$F83)</f>
        <v/>
      </c>
      <c r="E84" t="str">
        <f>IF(编写对白!D83&lt;0,1,IF(编写对白!$D83="","",0))</f>
        <v/>
      </c>
      <c r="F84" t="str">
        <f>IF(编写对白!$D83="","",编写对白!$D83)</f>
        <v/>
      </c>
      <c r="G84" t="str">
        <f>IF(编写对白!$G83="","",编写对白!$G83)</f>
        <v/>
      </c>
      <c r="H84" t="str">
        <f t="shared" si="15"/>
        <v/>
      </c>
      <c r="I84" t="str">
        <f t="shared" si="16"/>
        <v/>
      </c>
      <c r="J84" t="str">
        <f t="shared" si="17"/>
        <v/>
      </c>
      <c r="K84" t="str">
        <f t="shared" si="18"/>
        <v/>
      </c>
      <c r="L84" t="str">
        <f t="shared" si="19"/>
        <v/>
      </c>
      <c r="M84" t="str">
        <f t="shared" si="20"/>
        <v/>
      </c>
    </row>
    <row r="85" spans="1:13">
      <c r="A85" t="str">
        <f>IF(编写对白!$A84="","",编写对白!$A84)</f>
        <v/>
      </c>
      <c r="B85" t="str">
        <f>IF(编写对白!$B84="","",编写对白!$B84)</f>
        <v/>
      </c>
      <c r="C85" s="5" t="str">
        <f t="shared" si="14"/>
        <v/>
      </c>
      <c r="D85" t="str">
        <f>IF(编写对白!$F84="","",编写对白!$F84)</f>
        <v/>
      </c>
      <c r="E85" t="str">
        <f>IF(编写对白!D84&lt;0,1,IF(编写对白!$D84="","",0))</f>
        <v/>
      </c>
      <c r="F85" t="str">
        <f>IF(编写对白!$D84="","",编写对白!$D84)</f>
        <v/>
      </c>
      <c r="G85" t="str">
        <f>IF(编写对白!$G84="","",编写对白!$G84)</f>
        <v/>
      </c>
      <c r="H85" t="str">
        <f t="shared" si="15"/>
        <v/>
      </c>
      <c r="I85" t="str">
        <f t="shared" si="16"/>
        <v/>
      </c>
      <c r="J85" t="str">
        <f t="shared" si="17"/>
        <v/>
      </c>
      <c r="K85" t="str">
        <f t="shared" si="18"/>
        <v/>
      </c>
      <c r="L85" t="str">
        <f t="shared" si="19"/>
        <v/>
      </c>
      <c r="M85" t="str">
        <f t="shared" si="20"/>
        <v/>
      </c>
    </row>
    <row r="86" spans="1:13">
      <c r="A86" t="str">
        <f>IF(编写对白!$A85="","",编写对白!$A85)</f>
        <v/>
      </c>
      <c r="B86" t="str">
        <f>IF(编写对白!$B85="","",编写对白!$B85)</f>
        <v/>
      </c>
      <c r="C86" s="5" t="str">
        <f t="shared" si="14"/>
        <v/>
      </c>
      <c r="D86" t="str">
        <f>IF(编写对白!$F85="","",编写对白!$F85)</f>
        <v/>
      </c>
      <c r="E86" t="str">
        <f>IF(编写对白!D85&lt;0,1,IF(编写对白!$D85="","",0))</f>
        <v/>
      </c>
      <c r="F86" t="str">
        <f>IF(编写对白!$D85="","",编写对白!$D85)</f>
        <v/>
      </c>
      <c r="G86" t="str">
        <f>IF(编写对白!$G85="","",编写对白!$G85)</f>
        <v/>
      </c>
      <c r="H86" t="str">
        <f t="shared" si="15"/>
        <v/>
      </c>
      <c r="I86" t="str">
        <f t="shared" si="16"/>
        <v/>
      </c>
      <c r="J86" t="str">
        <f t="shared" si="17"/>
        <v/>
      </c>
      <c r="K86" t="str">
        <f t="shared" si="18"/>
        <v/>
      </c>
      <c r="L86" t="str">
        <f t="shared" si="19"/>
        <v/>
      </c>
      <c r="M86" t="str">
        <f t="shared" si="20"/>
        <v/>
      </c>
    </row>
    <row r="87" spans="1:13">
      <c r="A87" t="str">
        <f>IF(编写对白!$A86="","",编写对白!$A86)</f>
        <v/>
      </c>
      <c r="B87" t="str">
        <f>IF(编写对白!$B86="","",编写对白!$B86)</f>
        <v/>
      </c>
      <c r="C87" s="5" t="str">
        <f t="shared" si="14"/>
        <v/>
      </c>
      <c r="D87" t="str">
        <f>IF(编写对白!$F86="","",编写对白!$F86)</f>
        <v/>
      </c>
      <c r="E87" t="str">
        <f>IF(编写对白!D86&lt;0,1,IF(编写对白!$D86="","",0))</f>
        <v/>
      </c>
      <c r="F87" t="str">
        <f>IF(编写对白!$D86="","",编写对白!$D86)</f>
        <v/>
      </c>
      <c r="G87" t="str">
        <f>IF(编写对白!$G86="","",编写对白!$G86)</f>
        <v/>
      </c>
      <c r="H87" t="str">
        <f t="shared" si="15"/>
        <v/>
      </c>
      <c r="I87" t="str">
        <f t="shared" si="16"/>
        <v/>
      </c>
      <c r="J87" t="str">
        <f t="shared" si="17"/>
        <v/>
      </c>
      <c r="K87" t="str">
        <f t="shared" si="18"/>
        <v/>
      </c>
      <c r="L87" t="str">
        <f t="shared" si="19"/>
        <v/>
      </c>
      <c r="M87" t="str">
        <f t="shared" si="20"/>
        <v/>
      </c>
    </row>
    <row r="88" spans="1:13">
      <c r="A88" t="str">
        <f>IF(编写对白!$A87="","",编写对白!$A87)</f>
        <v/>
      </c>
      <c r="B88" t="str">
        <f>IF(编写对白!$B87="","",编写对白!$B87)</f>
        <v/>
      </c>
      <c r="C88" s="5" t="str">
        <f t="shared" si="14"/>
        <v/>
      </c>
      <c r="D88" t="str">
        <f>IF(编写对白!$F87="","",编写对白!$F87)</f>
        <v/>
      </c>
      <c r="E88" t="str">
        <f>IF(编写对白!D87&lt;0,1,IF(编写对白!$D87="","",0))</f>
        <v/>
      </c>
      <c r="F88" t="str">
        <f>IF(编写对白!$D87="","",编写对白!$D87)</f>
        <v/>
      </c>
      <c r="G88" t="str">
        <f>IF(编写对白!$G87="","",编写对白!$G87)</f>
        <v/>
      </c>
      <c r="H88" t="str">
        <f t="shared" si="15"/>
        <v/>
      </c>
      <c r="I88" t="str">
        <f t="shared" si="16"/>
        <v/>
      </c>
      <c r="J88" t="str">
        <f t="shared" si="17"/>
        <v/>
      </c>
      <c r="K88" t="str">
        <f t="shared" si="18"/>
        <v/>
      </c>
      <c r="L88" t="str">
        <f t="shared" si="19"/>
        <v/>
      </c>
      <c r="M88" t="str">
        <f t="shared" si="20"/>
        <v/>
      </c>
    </row>
    <row r="89" spans="1:13">
      <c r="A89" t="str">
        <f>IF(编写对白!$A88="","",编写对白!$A88)</f>
        <v/>
      </c>
      <c r="B89" t="str">
        <f>IF(编写对白!$B88="","",编写对白!$B88)</f>
        <v/>
      </c>
      <c r="C89" s="5" t="str">
        <f t="shared" si="14"/>
        <v/>
      </c>
      <c r="D89" t="str">
        <f>IF(编写对白!$F88="","",编写对白!$F88)</f>
        <v/>
      </c>
      <c r="E89" t="str">
        <f>IF(编写对白!D88&lt;0,1,IF(编写对白!$D88="","",0))</f>
        <v/>
      </c>
      <c r="F89" t="str">
        <f>IF(编写对白!$D88="","",编写对白!$D88)</f>
        <v/>
      </c>
      <c r="G89" t="str">
        <f>IF(编写对白!$G88="","",编写对白!$G88)</f>
        <v/>
      </c>
      <c r="H89" t="str">
        <f t="shared" si="15"/>
        <v/>
      </c>
      <c r="I89" t="str">
        <f t="shared" si="16"/>
        <v/>
      </c>
      <c r="J89" t="str">
        <f t="shared" si="17"/>
        <v/>
      </c>
      <c r="K89" t="str">
        <f t="shared" si="18"/>
        <v/>
      </c>
      <c r="L89" t="str">
        <f t="shared" si="19"/>
        <v/>
      </c>
      <c r="M89" t="str">
        <f t="shared" si="20"/>
        <v/>
      </c>
    </row>
    <row r="90" spans="1:13">
      <c r="A90" t="str">
        <f>IF(编写对白!$A89="","",编写对白!$A89)</f>
        <v/>
      </c>
      <c r="B90" t="str">
        <f>IF(编写对白!$B89="","",编写对白!$B89)</f>
        <v/>
      </c>
      <c r="C90" s="5" t="str">
        <f t="shared" si="14"/>
        <v/>
      </c>
      <c r="D90" t="str">
        <f>IF(编写对白!$F89="","",编写对白!$F89)</f>
        <v/>
      </c>
      <c r="E90" t="str">
        <f>IF(编写对白!D89&lt;0,1,IF(编写对白!$D89="","",0))</f>
        <v/>
      </c>
      <c r="F90" t="str">
        <f>IF(编写对白!$D89="","",编写对白!$D89)</f>
        <v/>
      </c>
      <c r="G90" t="str">
        <f>IF(编写对白!$G89="","",编写对白!$G89)</f>
        <v/>
      </c>
      <c r="H90" t="str">
        <f t="shared" si="15"/>
        <v/>
      </c>
      <c r="I90" t="str">
        <f t="shared" si="16"/>
        <v/>
      </c>
      <c r="J90" t="str">
        <f t="shared" si="17"/>
        <v/>
      </c>
      <c r="K90" t="str">
        <f t="shared" si="18"/>
        <v/>
      </c>
      <c r="L90" t="str">
        <f t="shared" si="19"/>
        <v/>
      </c>
      <c r="M90" t="str">
        <f t="shared" si="20"/>
        <v/>
      </c>
    </row>
    <row r="91" spans="1:13">
      <c r="A91" t="str">
        <f>IF(编写对白!$A90="","",编写对白!$A90)</f>
        <v/>
      </c>
      <c r="B91" t="str">
        <f>IF(编写对白!$B90="","",编写对白!$B90)</f>
        <v/>
      </c>
      <c r="C91" s="5" t="str">
        <f t="shared" si="14"/>
        <v/>
      </c>
      <c r="D91" t="str">
        <f>IF(编写对白!$F90="","",编写对白!$F90)</f>
        <v/>
      </c>
      <c r="E91" t="str">
        <f>IF(编写对白!D90&lt;0,1,IF(编写对白!$D90="","",0))</f>
        <v/>
      </c>
      <c r="F91" t="str">
        <f>IF(编写对白!$D90="","",编写对白!$D90)</f>
        <v/>
      </c>
      <c r="G91" t="str">
        <f>IF(编写对白!$G90="","",编写对白!$G90)</f>
        <v/>
      </c>
      <c r="H91" t="str">
        <f t="shared" si="15"/>
        <v/>
      </c>
      <c r="I91" t="str">
        <f t="shared" si="16"/>
        <v/>
      </c>
      <c r="J91" t="str">
        <f t="shared" si="17"/>
        <v/>
      </c>
      <c r="K91" t="str">
        <f t="shared" si="18"/>
        <v/>
      </c>
      <c r="L91" t="str">
        <f t="shared" si="19"/>
        <v/>
      </c>
      <c r="M91" t="str">
        <f t="shared" si="20"/>
        <v/>
      </c>
    </row>
    <row r="92" spans="1:13">
      <c r="A92" t="str">
        <f>IF(编写对白!$A91="","",编写对白!$A91)</f>
        <v/>
      </c>
      <c r="B92" t="str">
        <f>IF(编写对白!$B91="","",编写对白!$B91)</f>
        <v/>
      </c>
      <c r="C92" s="5" t="str">
        <f t="shared" si="14"/>
        <v/>
      </c>
      <c r="D92" t="str">
        <f>IF(编写对白!$F91="","",编写对白!$F91)</f>
        <v/>
      </c>
      <c r="E92" t="str">
        <f>IF(编写对白!D91&lt;0,1,IF(编写对白!$D91="","",0))</f>
        <v/>
      </c>
      <c r="F92" t="str">
        <f>IF(编写对白!$D91="","",编写对白!$D91)</f>
        <v/>
      </c>
      <c r="G92" t="str">
        <f>IF(编写对白!$G91="","",编写对白!$G91)</f>
        <v/>
      </c>
      <c r="H92" t="str">
        <f t="shared" si="15"/>
        <v/>
      </c>
      <c r="I92" t="str">
        <f t="shared" si="16"/>
        <v/>
      </c>
      <c r="J92" t="str">
        <f t="shared" si="17"/>
        <v/>
      </c>
      <c r="K92" t="str">
        <f t="shared" si="18"/>
        <v/>
      </c>
      <c r="L92" t="str">
        <f t="shared" si="19"/>
        <v/>
      </c>
      <c r="M92" t="str">
        <f t="shared" si="20"/>
        <v/>
      </c>
    </row>
    <row r="93" spans="1:13">
      <c r="A93" t="str">
        <f>IF(编写对白!$A92="","",编写对白!$A92)</f>
        <v/>
      </c>
      <c r="B93" t="str">
        <f>IF(编写对白!$B92="","",编写对白!$B92)</f>
        <v/>
      </c>
      <c r="C93" s="5" t="str">
        <f t="shared" si="14"/>
        <v/>
      </c>
      <c r="D93" t="str">
        <f>IF(编写对白!$F92="","",编写对白!$F92)</f>
        <v/>
      </c>
      <c r="E93" t="str">
        <f>IF(编写对白!D92&lt;0,1,IF(编写对白!$D92="","",0))</f>
        <v/>
      </c>
      <c r="F93" t="str">
        <f>IF(编写对白!$D92="","",编写对白!$D92)</f>
        <v/>
      </c>
      <c r="G93" t="str">
        <f>IF(编写对白!$G92="","",编写对白!$G92)</f>
        <v/>
      </c>
      <c r="H93" t="str">
        <f t="shared" si="15"/>
        <v/>
      </c>
      <c r="I93" t="str">
        <f t="shared" si="16"/>
        <v/>
      </c>
      <c r="J93" t="str">
        <f t="shared" si="17"/>
        <v/>
      </c>
      <c r="K93" t="str">
        <f t="shared" si="18"/>
        <v/>
      </c>
      <c r="L93" t="str">
        <f t="shared" si="19"/>
        <v/>
      </c>
      <c r="M93" t="str">
        <f t="shared" si="20"/>
        <v/>
      </c>
    </row>
    <row r="94" spans="1:13">
      <c r="A94" t="str">
        <f>IF(编写对白!$A93="","",编写对白!$A93)</f>
        <v/>
      </c>
      <c r="B94" t="str">
        <f>IF(编写对白!$B93="","",编写对白!$B93)</f>
        <v/>
      </c>
      <c r="C94" s="5" t="str">
        <f t="shared" si="14"/>
        <v/>
      </c>
      <c r="D94" t="str">
        <f>IF(编写对白!$F93="","",编写对白!$F93)</f>
        <v/>
      </c>
      <c r="E94" t="str">
        <f>IF(编写对白!D93&lt;0,1,IF(编写对白!$D93="","",0))</f>
        <v/>
      </c>
      <c r="F94" t="str">
        <f>IF(编写对白!$D93="","",编写对白!$D93)</f>
        <v/>
      </c>
      <c r="G94" t="str">
        <f>IF(编写对白!$G93="","",编写对白!$G93)</f>
        <v/>
      </c>
      <c r="H94" t="str">
        <f t="shared" si="15"/>
        <v/>
      </c>
      <c r="I94" t="str">
        <f t="shared" si="16"/>
        <v/>
      </c>
      <c r="J94" t="str">
        <f t="shared" si="17"/>
        <v/>
      </c>
      <c r="K94" t="str">
        <f t="shared" si="18"/>
        <v/>
      </c>
      <c r="L94" t="str">
        <f t="shared" si="19"/>
        <v/>
      </c>
      <c r="M94" t="str">
        <f t="shared" si="20"/>
        <v/>
      </c>
    </row>
    <row r="95" spans="1:13">
      <c r="A95" t="str">
        <f>IF(编写对白!$A94="","",编写对白!$A94)</f>
        <v/>
      </c>
      <c r="B95" t="str">
        <f>IF(编写对白!$B94="","",编写对白!$B94)</f>
        <v/>
      </c>
      <c r="C95" s="5" t="str">
        <f t="shared" si="14"/>
        <v/>
      </c>
      <c r="D95" t="str">
        <f>IF(编写对白!$F94="","",编写对白!$F94)</f>
        <v/>
      </c>
      <c r="E95" t="str">
        <f>IF(编写对白!D94&lt;0,1,IF(编写对白!$D94="","",0))</f>
        <v/>
      </c>
      <c r="F95" t="str">
        <f>IF(编写对白!$D94="","",编写对白!$D94)</f>
        <v/>
      </c>
      <c r="G95" t="str">
        <f>IF(编写对白!$G94="","",编写对白!$G94)</f>
        <v/>
      </c>
      <c r="H95" t="str">
        <f t="shared" si="15"/>
        <v/>
      </c>
      <c r="I95" t="str">
        <f t="shared" si="16"/>
        <v/>
      </c>
      <c r="J95" t="str">
        <f t="shared" si="17"/>
        <v/>
      </c>
      <c r="K95" t="str">
        <f t="shared" si="18"/>
        <v/>
      </c>
      <c r="L95" t="str">
        <f t="shared" si="19"/>
        <v/>
      </c>
      <c r="M95" t="str">
        <f t="shared" si="20"/>
        <v/>
      </c>
    </row>
    <row r="96" spans="1:13">
      <c r="A96" t="str">
        <f>IF(编写对白!$A95="","",编写对白!$A95)</f>
        <v/>
      </c>
      <c r="B96" t="str">
        <f>IF(编写对白!$B95="","",编写对白!$B95)</f>
        <v/>
      </c>
      <c r="C96" s="5" t="str">
        <f t="shared" si="14"/>
        <v/>
      </c>
      <c r="D96" t="str">
        <f>IF(编写对白!$F95="","",编写对白!$F95)</f>
        <v/>
      </c>
      <c r="E96" t="str">
        <f>IF(编写对白!D95&lt;0,1,IF(编写对白!$D95="","",0))</f>
        <v/>
      </c>
      <c r="F96" t="str">
        <f>IF(编写对白!$D95="","",编写对白!$D95)</f>
        <v/>
      </c>
      <c r="G96" t="str">
        <f>IF(编写对白!$G95="","",编写对白!$G95)</f>
        <v/>
      </c>
      <c r="H96" t="str">
        <f t="shared" si="15"/>
        <v/>
      </c>
      <c r="I96" t="str">
        <f t="shared" si="16"/>
        <v/>
      </c>
      <c r="J96" t="str">
        <f t="shared" si="17"/>
        <v/>
      </c>
      <c r="K96" t="str">
        <f t="shared" si="18"/>
        <v/>
      </c>
      <c r="L96" t="str">
        <f t="shared" si="19"/>
        <v/>
      </c>
      <c r="M96" t="str">
        <f t="shared" si="20"/>
        <v/>
      </c>
    </row>
    <row r="97" spans="1:13">
      <c r="A97" t="str">
        <f>IF(编写对白!$A96="","",编写对白!$A96)</f>
        <v/>
      </c>
      <c r="B97" t="str">
        <f>IF(编写对白!$B96="","",编写对白!$B96)</f>
        <v/>
      </c>
      <c r="C97" s="5" t="str">
        <f t="shared" si="14"/>
        <v/>
      </c>
      <c r="D97" t="str">
        <f>IF(编写对白!$F96="","",编写对白!$F96)</f>
        <v/>
      </c>
      <c r="E97" t="str">
        <f>IF(编写对白!D96&lt;0,1,IF(编写对白!$D96="","",0))</f>
        <v/>
      </c>
      <c r="F97" t="str">
        <f>IF(编写对白!$D96="","",编写对白!$D96)</f>
        <v/>
      </c>
      <c r="G97" t="str">
        <f>IF(编写对白!$G96="","",编写对白!$G96)</f>
        <v/>
      </c>
      <c r="H97" t="str">
        <f t="shared" si="15"/>
        <v/>
      </c>
      <c r="I97" t="str">
        <f t="shared" si="16"/>
        <v/>
      </c>
      <c r="J97" t="str">
        <f t="shared" si="17"/>
        <v/>
      </c>
      <c r="K97" t="str">
        <f t="shared" si="18"/>
        <v/>
      </c>
      <c r="L97" t="str">
        <f t="shared" si="19"/>
        <v/>
      </c>
      <c r="M97" t="str">
        <f t="shared" si="20"/>
        <v/>
      </c>
    </row>
    <row r="98" spans="1:13">
      <c r="A98" t="str">
        <f>IF(编写对白!$A97="","",编写对白!$A97)</f>
        <v/>
      </c>
      <c r="B98" t="str">
        <f>IF(编写对白!$B97="","",编写对白!$B97)</f>
        <v/>
      </c>
      <c r="C98" s="5" t="str">
        <f t="shared" si="14"/>
        <v/>
      </c>
      <c r="D98" t="str">
        <f>IF(编写对白!$F97="","",编写对白!$F97)</f>
        <v/>
      </c>
      <c r="E98" t="str">
        <f>IF(编写对白!D97&lt;0,1,IF(编写对白!$D97="","",0))</f>
        <v/>
      </c>
      <c r="F98" t="str">
        <f>IF(编写对白!$D97="","",编写对白!$D97)</f>
        <v/>
      </c>
      <c r="G98" t="str">
        <f>IF(编写对白!$G97="","",编写对白!$G97)</f>
        <v/>
      </c>
      <c r="H98" t="str">
        <f t="shared" si="15"/>
        <v/>
      </c>
      <c r="I98" t="str">
        <f t="shared" si="16"/>
        <v/>
      </c>
      <c r="J98" t="str">
        <f t="shared" si="17"/>
        <v/>
      </c>
      <c r="K98" t="str">
        <f t="shared" si="18"/>
        <v/>
      </c>
      <c r="L98" t="str">
        <f t="shared" si="19"/>
        <v/>
      </c>
      <c r="M98" t="str">
        <f t="shared" si="20"/>
        <v/>
      </c>
    </row>
    <row r="99" spans="1:13">
      <c r="A99" t="str">
        <f>IF(编写对白!$A98="","",编写对白!$A98)</f>
        <v/>
      </c>
      <c r="B99" t="str">
        <f>IF(编写对白!$B98="","",编写对白!$B98)</f>
        <v/>
      </c>
      <c r="C99" s="5" t="str">
        <f t="shared" si="14"/>
        <v/>
      </c>
      <c r="D99" t="str">
        <f>IF(编写对白!$F98="","",编写对白!$F98)</f>
        <v/>
      </c>
      <c r="E99" t="str">
        <f>IF(编写对白!D98&lt;0,1,IF(编写对白!$D98="","",0))</f>
        <v/>
      </c>
      <c r="F99" t="str">
        <f>IF(编写对白!$D98="","",编写对白!$D98)</f>
        <v/>
      </c>
      <c r="G99" t="str">
        <f>IF(编写对白!$G98="","",编写对白!$G98)</f>
        <v/>
      </c>
      <c r="H99" t="str">
        <f t="shared" si="15"/>
        <v/>
      </c>
      <c r="I99" t="str">
        <f t="shared" si="16"/>
        <v/>
      </c>
      <c r="J99" t="str">
        <f t="shared" si="17"/>
        <v/>
      </c>
      <c r="K99" t="str">
        <f t="shared" si="18"/>
        <v/>
      </c>
      <c r="L99" t="str">
        <f t="shared" si="19"/>
        <v/>
      </c>
      <c r="M99" t="str">
        <f t="shared" si="20"/>
        <v/>
      </c>
    </row>
    <row r="100" spans="1:13">
      <c r="A100" t="str">
        <f>IF(编写对白!$A99="","",编写对白!$A99)</f>
        <v/>
      </c>
      <c r="B100" t="str">
        <f>IF(编写对白!$B99="","",编写对白!$B99)</f>
        <v/>
      </c>
      <c r="C100" s="5" t="str">
        <f t="shared" si="14"/>
        <v/>
      </c>
      <c r="D100" t="str">
        <f>IF(编写对白!$F99="","",编写对白!$F99)</f>
        <v/>
      </c>
      <c r="E100" t="str">
        <f>IF(编写对白!D99&lt;0,1,IF(编写对白!$D99="","",0))</f>
        <v/>
      </c>
      <c r="F100" t="str">
        <f>IF(编写对白!$D99="","",编写对白!$D99)</f>
        <v/>
      </c>
      <c r="G100" t="str">
        <f>IF(编写对白!$G99="","",编写对白!$G99)</f>
        <v/>
      </c>
      <c r="H100" t="str">
        <f t="shared" si="15"/>
        <v/>
      </c>
      <c r="I100" t="str">
        <f t="shared" si="16"/>
        <v/>
      </c>
      <c r="J100" t="str">
        <f t="shared" si="17"/>
        <v/>
      </c>
      <c r="K100" t="str">
        <f t="shared" si="18"/>
        <v/>
      </c>
      <c r="L100" t="str">
        <f t="shared" si="19"/>
        <v/>
      </c>
      <c r="M100" t="str">
        <f t="shared" si="20"/>
        <v/>
      </c>
    </row>
    <row r="101" spans="1:13">
      <c r="A101" t="str">
        <f>IF(编写对白!$A100="","",编写对白!$A100)</f>
        <v/>
      </c>
      <c r="B101" t="str">
        <f>IF(编写对白!$B100="","",编写对白!$B100)</f>
        <v/>
      </c>
      <c r="C101" s="5" t="str">
        <f t="shared" ref="C101:C132" si="21">IF($A101="","",$A101/10)</f>
        <v/>
      </c>
      <c r="D101" t="str">
        <f>IF(编写对白!$F100="","",编写对白!$F100)</f>
        <v/>
      </c>
      <c r="E101" t="str">
        <f>IF(编写对白!D100&lt;0,1,IF(编写对白!$D100="","",0))</f>
        <v/>
      </c>
      <c r="F101" t="str">
        <f>IF(编写对白!$D100="","",编写对白!$D100)</f>
        <v/>
      </c>
      <c r="G101" t="str">
        <f>IF(编写对白!$G100="","",编写对白!$G100)</f>
        <v/>
      </c>
      <c r="H101" t="str">
        <f t="shared" ref="H101:H132" si="22">IF($A101="","",1)</f>
        <v/>
      </c>
      <c r="I101" t="str">
        <f t="shared" ref="I101:I132" si="23">IF($G101="","",ROUNDUP(LEN($G101)/3+1,0))</f>
        <v/>
      </c>
      <c r="J101" t="str">
        <f t="shared" ref="J101:J132" si="24">IF($A101="","",1)</f>
        <v/>
      </c>
      <c r="K101" t="str">
        <f t="shared" ref="K101:K132" si="25">IF($A101="","",-1)</f>
        <v/>
      </c>
      <c r="L101" t="str">
        <f t="shared" ref="L101:L132" si="26">IF($A101="","",-1)</f>
        <v/>
      </c>
      <c r="M101" t="str">
        <f t="shared" ref="M101:M132" si="27">IF($A101="","",-1)</f>
        <v/>
      </c>
    </row>
    <row r="102" spans="1:13">
      <c r="A102" t="str">
        <f>IF(编写对白!$A101="","",编写对白!$A101)</f>
        <v/>
      </c>
      <c r="B102" t="str">
        <f>IF(编写对白!$B101="","",编写对白!$B101)</f>
        <v/>
      </c>
      <c r="C102" s="5" t="str">
        <f t="shared" si="21"/>
        <v/>
      </c>
      <c r="D102" t="str">
        <f>IF(编写对白!$F101="","",编写对白!$F101)</f>
        <v/>
      </c>
      <c r="E102" t="str">
        <f>IF(编写对白!D101&lt;0,1,IF(编写对白!$D101="","",0))</f>
        <v/>
      </c>
      <c r="F102" t="str">
        <f>IF(编写对白!$D101="","",编写对白!$D101)</f>
        <v/>
      </c>
      <c r="G102" t="str">
        <f>IF(编写对白!$G101="","",编写对白!$G101)</f>
        <v/>
      </c>
      <c r="H102" t="str">
        <f t="shared" si="22"/>
        <v/>
      </c>
      <c r="I102" t="str">
        <f t="shared" si="23"/>
        <v/>
      </c>
      <c r="J102" t="str">
        <f t="shared" si="24"/>
        <v/>
      </c>
      <c r="K102" t="str">
        <f t="shared" si="25"/>
        <v/>
      </c>
      <c r="L102" t="str">
        <f t="shared" si="26"/>
        <v/>
      </c>
      <c r="M102" t="str">
        <f t="shared" si="27"/>
        <v/>
      </c>
    </row>
    <row r="103" spans="1:13">
      <c r="A103" t="str">
        <f>IF(编写对白!$A102="","",编写对白!$A102)</f>
        <v/>
      </c>
      <c r="B103" t="str">
        <f>IF(编写对白!$B102="","",编写对白!$B102)</f>
        <v/>
      </c>
      <c r="C103" s="5" t="str">
        <f t="shared" si="21"/>
        <v/>
      </c>
      <c r="D103" t="str">
        <f>IF(编写对白!$F102="","",编写对白!$F102)</f>
        <v/>
      </c>
      <c r="E103" t="str">
        <f>IF(编写对白!D102&lt;0,1,IF(编写对白!$D102="","",0))</f>
        <v/>
      </c>
      <c r="F103" t="str">
        <f>IF(编写对白!$D102="","",编写对白!$D102)</f>
        <v/>
      </c>
      <c r="G103" t="str">
        <f>IF(编写对白!$G102="","",编写对白!$G102)</f>
        <v/>
      </c>
      <c r="H103" t="str">
        <f t="shared" si="22"/>
        <v/>
      </c>
      <c r="I103" t="str">
        <f t="shared" si="23"/>
        <v/>
      </c>
      <c r="J103" t="str">
        <f t="shared" si="24"/>
        <v/>
      </c>
      <c r="K103" t="str">
        <f t="shared" si="25"/>
        <v/>
      </c>
      <c r="L103" t="str">
        <f t="shared" si="26"/>
        <v/>
      </c>
      <c r="M103" t="str">
        <f t="shared" si="27"/>
        <v/>
      </c>
    </row>
    <row r="104" spans="1:13">
      <c r="A104" t="str">
        <f>IF(编写对白!$A103="","",编写对白!$A103)</f>
        <v/>
      </c>
      <c r="B104" t="str">
        <f>IF(编写对白!$B103="","",编写对白!$B103)</f>
        <v/>
      </c>
      <c r="C104" s="5" t="str">
        <f t="shared" si="21"/>
        <v/>
      </c>
      <c r="D104" t="str">
        <f>IF(编写对白!$F103="","",编写对白!$F103)</f>
        <v/>
      </c>
      <c r="E104" t="str">
        <f>IF(编写对白!D103&lt;0,1,IF(编写对白!$D103="","",0))</f>
        <v/>
      </c>
      <c r="F104" t="str">
        <f>IF(编写对白!$D103="","",编写对白!$D103)</f>
        <v/>
      </c>
      <c r="G104" t="str">
        <f>IF(编写对白!$G103="","",编写对白!$G103)</f>
        <v/>
      </c>
      <c r="H104" t="str">
        <f t="shared" si="22"/>
        <v/>
      </c>
      <c r="I104" t="str">
        <f t="shared" si="23"/>
        <v/>
      </c>
      <c r="J104" t="str">
        <f t="shared" si="24"/>
        <v/>
      </c>
      <c r="K104" t="str">
        <f t="shared" si="25"/>
        <v/>
      </c>
      <c r="L104" t="str">
        <f t="shared" si="26"/>
        <v/>
      </c>
      <c r="M104" t="str">
        <f t="shared" si="27"/>
        <v/>
      </c>
    </row>
    <row r="105" spans="1:13">
      <c r="A105" t="str">
        <f>IF(编写对白!$A104="","",编写对白!$A104)</f>
        <v/>
      </c>
      <c r="B105" t="str">
        <f>IF(编写对白!$B104="","",编写对白!$B104)</f>
        <v/>
      </c>
      <c r="C105" s="5" t="str">
        <f t="shared" si="21"/>
        <v/>
      </c>
      <c r="D105" t="str">
        <f>IF(编写对白!$F104="","",编写对白!$F104)</f>
        <v/>
      </c>
      <c r="E105" t="str">
        <f>IF(编写对白!D104&lt;0,1,IF(编写对白!$D104="","",0))</f>
        <v/>
      </c>
      <c r="F105" t="str">
        <f>IF(编写对白!$D104="","",编写对白!$D104)</f>
        <v/>
      </c>
      <c r="G105" t="str">
        <f>IF(编写对白!$G104="","",编写对白!$G104)</f>
        <v/>
      </c>
      <c r="H105" t="str">
        <f t="shared" si="22"/>
        <v/>
      </c>
      <c r="I105" t="str">
        <f t="shared" si="23"/>
        <v/>
      </c>
      <c r="J105" t="str">
        <f t="shared" si="24"/>
        <v/>
      </c>
      <c r="K105" t="str">
        <f t="shared" si="25"/>
        <v/>
      </c>
      <c r="L105" t="str">
        <f t="shared" si="26"/>
        <v/>
      </c>
      <c r="M105" t="str">
        <f t="shared" si="27"/>
        <v/>
      </c>
    </row>
    <row r="106" spans="1:13">
      <c r="A106" t="str">
        <f>IF(编写对白!$A105="","",编写对白!$A105)</f>
        <v/>
      </c>
      <c r="B106" t="str">
        <f>IF(编写对白!$B105="","",编写对白!$B105)</f>
        <v/>
      </c>
      <c r="C106" s="5" t="str">
        <f t="shared" si="21"/>
        <v/>
      </c>
      <c r="D106" t="str">
        <f>IF(编写对白!$F105="","",编写对白!$F105)</f>
        <v/>
      </c>
      <c r="E106" t="str">
        <f>IF(编写对白!D105&lt;0,1,IF(编写对白!$D105="","",0))</f>
        <v/>
      </c>
      <c r="F106" t="str">
        <f>IF(编写对白!$D105="","",编写对白!$D105)</f>
        <v/>
      </c>
      <c r="G106" t="str">
        <f>IF(编写对白!$G105="","",编写对白!$G105)</f>
        <v/>
      </c>
      <c r="H106" t="str">
        <f t="shared" si="22"/>
        <v/>
      </c>
      <c r="I106" t="str">
        <f t="shared" si="23"/>
        <v/>
      </c>
      <c r="J106" t="str">
        <f t="shared" si="24"/>
        <v/>
      </c>
      <c r="K106" t="str">
        <f t="shared" si="25"/>
        <v/>
      </c>
      <c r="L106" t="str">
        <f t="shared" si="26"/>
        <v/>
      </c>
      <c r="M106" t="str">
        <f t="shared" si="27"/>
        <v/>
      </c>
    </row>
    <row r="107" spans="1:13">
      <c r="A107" t="str">
        <f>IF(编写对白!$A106="","",编写对白!$A106)</f>
        <v/>
      </c>
      <c r="B107" t="str">
        <f>IF(编写对白!$B106="","",编写对白!$B106)</f>
        <v/>
      </c>
      <c r="C107" s="5" t="str">
        <f t="shared" si="21"/>
        <v/>
      </c>
      <c r="D107" t="str">
        <f>IF(编写对白!$F106="","",编写对白!$F106)</f>
        <v/>
      </c>
      <c r="E107" t="str">
        <f>IF(编写对白!D106&lt;0,1,IF(编写对白!$D106="","",0))</f>
        <v/>
      </c>
      <c r="F107" t="str">
        <f>IF(编写对白!$D106="","",编写对白!$D106)</f>
        <v/>
      </c>
      <c r="G107" t="str">
        <f>IF(编写对白!$G106="","",编写对白!$G106)</f>
        <v/>
      </c>
      <c r="H107" t="str">
        <f t="shared" si="22"/>
        <v/>
      </c>
      <c r="I107" t="str">
        <f t="shared" si="23"/>
        <v/>
      </c>
      <c r="J107" t="str">
        <f t="shared" si="24"/>
        <v/>
      </c>
      <c r="K107" t="str">
        <f t="shared" si="25"/>
        <v/>
      </c>
      <c r="L107" t="str">
        <f t="shared" si="26"/>
        <v/>
      </c>
      <c r="M107" t="str">
        <f t="shared" si="27"/>
        <v/>
      </c>
    </row>
    <row r="108" spans="1:13">
      <c r="A108" t="str">
        <f>IF(编写对白!$A107="","",编写对白!$A107)</f>
        <v/>
      </c>
      <c r="B108" t="str">
        <f>IF(编写对白!$B107="","",编写对白!$B107)</f>
        <v/>
      </c>
      <c r="C108" s="5" t="str">
        <f t="shared" si="21"/>
        <v/>
      </c>
      <c r="D108" t="str">
        <f>IF(编写对白!$F107="","",编写对白!$F107)</f>
        <v/>
      </c>
      <c r="E108" t="str">
        <f>IF(编写对白!D107&lt;0,1,IF(编写对白!$D107="","",0))</f>
        <v/>
      </c>
      <c r="F108" t="str">
        <f>IF(编写对白!$D107="","",编写对白!$D107)</f>
        <v/>
      </c>
      <c r="G108" t="str">
        <f>IF(编写对白!$G107="","",编写对白!$G107)</f>
        <v/>
      </c>
      <c r="H108" t="str">
        <f t="shared" si="22"/>
        <v/>
      </c>
      <c r="I108" t="str">
        <f t="shared" si="23"/>
        <v/>
      </c>
      <c r="J108" t="str">
        <f t="shared" si="24"/>
        <v/>
      </c>
      <c r="K108" t="str">
        <f t="shared" si="25"/>
        <v/>
      </c>
      <c r="L108" t="str">
        <f t="shared" si="26"/>
        <v/>
      </c>
      <c r="M108" t="str">
        <f t="shared" si="27"/>
        <v/>
      </c>
    </row>
    <row r="109" spans="1:13">
      <c r="A109" t="str">
        <f>IF(编写对白!$A108="","",编写对白!$A108)</f>
        <v/>
      </c>
      <c r="B109" t="str">
        <f>IF(编写对白!$B108="","",编写对白!$B108)</f>
        <v/>
      </c>
      <c r="C109" s="5" t="str">
        <f t="shared" si="21"/>
        <v/>
      </c>
      <c r="D109" t="str">
        <f>IF(编写对白!$F108="","",编写对白!$F108)</f>
        <v/>
      </c>
      <c r="E109" t="str">
        <f>IF(编写对白!D108&lt;0,1,IF(编写对白!$D108="","",0))</f>
        <v/>
      </c>
      <c r="F109" t="str">
        <f>IF(编写对白!$D108="","",编写对白!$D108)</f>
        <v/>
      </c>
      <c r="G109" t="str">
        <f>IF(编写对白!$G108="","",编写对白!$G108)</f>
        <v/>
      </c>
      <c r="H109" t="str">
        <f t="shared" si="22"/>
        <v/>
      </c>
      <c r="I109" t="str">
        <f t="shared" si="23"/>
        <v/>
      </c>
      <c r="J109" t="str">
        <f t="shared" si="24"/>
        <v/>
      </c>
      <c r="K109" t="str">
        <f t="shared" si="25"/>
        <v/>
      </c>
      <c r="L109" t="str">
        <f t="shared" si="26"/>
        <v/>
      </c>
      <c r="M109" t="str">
        <f t="shared" si="27"/>
        <v/>
      </c>
    </row>
    <row r="110" spans="1:13">
      <c r="A110" t="str">
        <f>IF(编写对白!$A109="","",编写对白!$A109)</f>
        <v/>
      </c>
      <c r="B110" t="str">
        <f>IF(编写对白!$B109="","",编写对白!$B109)</f>
        <v/>
      </c>
      <c r="C110" s="5" t="str">
        <f t="shared" si="21"/>
        <v/>
      </c>
      <c r="D110" t="str">
        <f>IF(编写对白!$F109="","",编写对白!$F109)</f>
        <v/>
      </c>
      <c r="E110" t="str">
        <f>IF(编写对白!D109&lt;0,1,IF(编写对白!$D109="","",0))</f>
        <v/>
      </c>
      <c r="F110" t="str">
        <f>IF(编写对白!$D109="","",编写对白!$D109)</f>
        <v/>
      </c>
      <c r="G110" t="str">
        <f>IF(编写对白!$G109="","",编写对白!$G109)</f>
        <v/>
      </c>
      <c r="H110" t="str">
        <f t="shared" si="22"/>
        <v/>
      </c>
      <c r="I110" t="str">
        <f t="shared" si="23"/>
        <v/>
      </c>
      <c r="J110" t="str">
        <f t="shared" si="24"/>
        <v/>
      </c>
      <c r="K110" t="str">
        <f t="shared" si="25"/>
        <v/>
      </c>
      <c r="L110" t="str">
        <f t="shared" si="26"/>
        <v/>
      </c>
      <c r="M110" t="str">
        <f t="shared" si="27"/>
        <v/>
      </c>
    </row>
    <row r="111" spans="1:13">
      <c r="A111" t="str">
        <f>IF(编写对白!$A110="","",编写对白!$A110)</f>
        <v/>
      </c>
      <c r="B111" t="str">
        <f>IF(编写对白!$B110="","",编写对白!$B110)</f>
        <v/>
      </c>
      <c r="C111" s="5" t="str">
        <f t="shared" si="21"/>
        <v/>
      </c>
      <c r="D111" t="str">
        <f>IF(编写对白!$F110="","",编写对白!$F110)</f>
        <v/>
      </c>
      <c r="E111" t="str">
        <f>IF(编写对白!D110&lt;0,1,IF(编写对白!$D110="","",0))</f>
        <v/>
      </c>
      <c r="F111" t="str">
        <f>IF(编写对白!$D110="","",编写对白!$D110)</f>
        <v/>
      </c>
      <c r="G111" t="str">
        <f>IF(编写对白!$G110="","",编写对白!$G110)</f>
        <v/>
      </c>
      <c r="H111" t="str">
        <f t="shared" si="22"/>
        <v/>
      </c>
      <c r="I111" t="str">
        <f t="shared" si="23"/>
        <v/>
      </c>
      <c r="J111" t="str">
        <f t="shared" si="24"/>
        <v/>
      </c>
      <c r="K111" t="str">
        <f t="shared" si="25"/>
        <v/>
      </c>
      <c r="L111" t="str">
        <f t="shared" si="26"/>
        <v/>
      </c>
      <c r="M111" t="str">
        <f t="shared" si="27"/>
        <v/>
      </c>
    </row>
    <row r="112" spans="1:13">
      <c r="A112" t="str">
        <f>IF(编写对白!$A111="","",编写对白!$A111)</f>
        <v/>
      </c>
      <c r="B112" t="str">
        <f>IF(编写对白!$B111="","",编写对白!$B111)</f>
        <v/>
      </c>
      <c r="C112" s="5" t="str">
        <f t="shared" si="21"/>
        <v/>
      </c>
      <c r="D112" t="str">
        <f>IF(编写对白!$F111="","",编写对白!$F111)</f>
        <v/>
      </c>
      <c r="E112" t="str">
        <f>IF(编写对白!D111&lt;0,1,IF(编写对白!$D111="","",0))</f>
        <v/>
      </c>
      <c r="F112" t="str">
        <f>IF(编写对白!$D111="","",编写对白!$D111)</f>
        <v/>
      </c>
      <c r="G112" t="str">
        <f>IF(编写对白!$G111="","",编写对白!$G111)</f>
        <v/>
      </c>
      <c r="H112" t="str">
        <f t="shared" si="22"/>
        <v/>
      </c>
      <c r="I112" t="str">
        <f t="shared" si="23"/>
        <v/>
      </c>
      <c r="J112" t="str">
        <f t="shared" si="24"/>
        <v/>
      </c>
      <c r="K112" t="str">
        <f t="shared" si="25"/>
        <v/>
      </c>
      <c r="L112" t="str">
        <f t="shared" si="26"/>
        <v/>
      </c>
      <c r="M112" t="str">
        <f t="shared" si="27"/>
        <v/>
      </c>
    </row>
    <row r="113" spans="1:13">
      <c r="A113" t="str">
        <f>IF(编写对白!$A112="","",编写对白!$A112)</f>
        <v/>
      </c>
      <c r="B113" t="str">
        <f>IF(编写对白!$B112="","",编写对白!$B112)</f>
        <v/>
      </c>
      <c r="C113" s="5" t="str">
        <f t="shared" si="21"/>
        <v/>
      </c>
      <c r="D113" t="str">
        <f>IF(编写对白!$F112="","",编写对白!$F112)</f>
        <v/>
      </c>
      <c r="E113" t="str">
        <f>IF(编写对白!D112&lt;0,1,IF(编写对白!$D112="","",0))</f>
        <v/>
      </c>
      <c r="F113" t="str">
        <f>IF(编写对白!$D112="","",编写对白!$D112)</f>
        <v/>
      </c>
      <c r="G113" t="str">
        <f>IF(编写对白!$G112="","",编写对白!$G112)</f>
        <v/>
      </c>
      <c r="H113" t="str">
        <f t="shared" si="22"/>
        <v/>
      </c>
      <c r="I113" t="str">
        <f t="shared" si="23"/>
        <v/>
      </c>
      <c r="J113" t="str">
        <f t="shared" si="24"/>
        <v/>
      </c>
      <c r="K113" t="str">
        <f t="shared" si="25"/>
        <v/>
      </c>
      <c r="L113" t="str">
        <f t="shared" si="26"/>
        <v/>
      </c>
      <c r="M113" t="str">
        <f t="shared" si="27"/>
        <v/>
      </c>
    </row>
    <row r="114" spans="1:13">
      <c r="A114" t="str">
        <f>IF(编写对白!$A113="","",编写对白!$A113)</f>
        <v/>
      </c>
      <c r="B114" t="str">
        <f>IF(编写对白!$B113="","",编写对白!$B113)</f>
        <v/>
      </c>
      <c r="C114" s="5" t="str">
        <f t="shared" si="21"/>
        <v/>
      </c>
      <c r="D114" t="str">
        <f>IF(编写对白!$F113="","",编写对白!$F113)</f>
        <v/>
      </c>
      <c r="E114" t="str">
        <f>IF(编写对白!D113&lt;0,1,IF(编写对白!$D113="","",0))</f>
        <v/>
      </c>
      <c r="F114" t="str">
        <f>IF(编写对白!$D113="","",编写对白!$D113)</f>
        <v/>
      </c>
      <c r="G114" t="str">
        <f>IF(编写对白!$G113="","",编写对白!$G113)</f>
        <v/>
      </c>
      <c r="H114" t="str">
        <f t="shared" si="22"/>
        <v/>
      </c>
      <c r="I114" t="str">
        <f t="shared" si="23"/>
        <v/>
      </c>
      <c r="J114" t="str">
        <f t="shared" si="24"/>
        <v/>
      </c>
      <c r="K114" t="str">
        <f t="shared" si="25"/>
        <v/>
      </c>
      <c r="L114" t="str">
        <f t="shared" si="26"/>
        <v/>
      </c>
      <c r="M114" t="str">
        <f t="shared" si="27"/>
        <v/>
      </c>
    </row>
    <row r="115" spans="1:13">
      <c r="A115" t="str">
        <f>IF(编写对白!$A114="","",编写对白!$A114)</f>
        <v/>
      </c>
      <c r="B115" t="str">
        <f>IF(编写对白!$B114="","",编写对白!$B114)</f>
        <v/>
      </c>
      <c r="C115" s="5" t="str">
        <f t="shared" si="21"/>
        <v/>
      </c>
      <c r="D115" t="str">
        <f>IF(编写对白!$F114="","",编写对白!$F114)</f>
        <v/>
      </c>
      <c r="E115" t="str">
        <f>IF(编写对白!D114&lt;0,1,IF(编写对白!$D114="","",0))</f>
        <v/>
      </c>
      <c r="F115" t="str">
        <f>IF(编写对白!$D114="","",编写对白!$D114)</f>
        <v/>
      </c>
      <c r="G115" t="str">
        <f>IF(编写对白!$G114="","",编写对白!$G114)</f>
        <v/>
      </c>
      <c r="H115" t="str">
        <f t="shared" si="22"/>
        <v/>
      </c>
      <c r="I115" t="str">
        <f t="shared" si="23"/>
        <v/>
      </c>
      <c r="J115" t="str">
        <f t="shared" si="24"/>
        <v/>
      </c>
      <c r="K115" t="str">
        <f t="shared" si="25"/>
        <v/>
      </c>
      <c r="L115" t="str">
        <f t="shared" si="26"/>
        <v/>
      </c>
      <c r="M115" t="str">
        <f t="shared" si="27"/>
        <v/>
      </c>
    </row>
    <row r="116" spans="1:13">
      <c r="A116" t="str">
        <f>IF(编写对白!$A115="","",编写对白!$A115)</f>
        <v/>
      </c>
      <c r="B116" t="str">
        <f>IF(编写对白!$B115="","",编写对白!$B115)</f>
        <v/>
      </c>
      <c r="C116" s="5" t="str">
        <f t="shared" si="21"/>
        <v/>
      </c>
      <c r="D116" t="str">
        <f>IF(编写对白!$F115="","",编写对白!$F115)</f>
        <v/>
      </c>
      <c r="E116" t="str">
        <f>IF(编写对白!D115&lt;0,1,IF(编写对白!$D115="","",0))</f>
        <v/>
      </c>
      <c r="F116" t="str">
        <f>IF(编写对白!$D115="","",编写对白!$D115)</f>
        <v/>
      </c>
      <c r="G116" t="str">
        <f>IF(编写对白!$G115="","",编写对白!$G115)</f>
        <v/>
      </c>
      <c r="H116" t="str">
        <f t="shared" si="22"/>
        <v/>
      </c>
      <c r="I116" t="str">
        <f t="shared" si="23"/>
        <v/>
      </c>
      <c r="J116" t="str">
        <f t="shared" si="24"/>
        <v/>
      </c>
      <c r="K116" t="str">
        <f t="shared" si="25"/>
        <v/>
      </c>
      <c r="L116" t="str">
        <f t="shared" si="26"/>
        <v/>
      </c>
      <c r="M116" t="str">
        <f t="shared" si="27"/>
        <v/>
      </c>
    </row>
    <row r="117" spans="1:13">
      <c r="A117" t="str">
        <f>IF(编写对白!$A116="","",编写对白!$A116)</f>
        <v/>
      </c>
      <c r="B117" t="str">
        <f>IF(编写对白!$B116="","",编写对白!$B116)</f>
        <v/>
      </c>
      <c r="C117" s="5" t="str">
        <f t="shared" si="21"/>
        <v/>
      </c>
      <c r="D117" t="str">
        <f>IF(编写对白!$F116="","",编写对白!$F116)</f>
        <v/>
      </c>
      <c r="E117" t="str">
        <f>IF(编写对白!D116&lt;0,1,IF(编写对白!$D116="","",0))</f>
        <v/>
      </c>
      <c r="F117" t="str">
        <f>IF(编写对白!$D116="","",编写对白!$D116)</f>
        <v/>
      </c>
      <c r="G117" t="str">
        <f>IF(编写对白!$G116="","",编写对白!$G116)</f>
        <v/>
      </c>
      <c r="H117" t="str">
        <f t="shared" si="22"/>
        <v/>
      </c>
      <c r="I117" t="str">
        <f t="shared" si="23"/>
        <v/>
      </c>
      <c r="J117" t="str">
        <f t="shared" si="24"/>
        <v/>
      </c>
      <c r="K117" t="str">
        <f t="shared" si="25"/>
        <v/>
      </c>
      <c r="L117" t="str">
        <f t="shared" si="26"/>
        <v/>
      </c>
      <c r="M117" t="str">
        <f t="shared" si="27"/>
        <v/>
      </c>
    </row>
    <row r="118" spans="1:13">
      <c r="A118" t="str">
        <f>IF(编写对白!$A117="","",编写对白!$A117)</f>
        <v/>
      </c>
      <c r="B118" t="str">
        <f>IF(编写对白!$B117="","",编写对白!$B117)</f>
        <v/>
      </c>
      <c r="C118" s="5" t="str">
        <f t="shared" si="21"/>
        <v/>
      </c>
      <c r="D118" t="str">
        <f>IF(编写对白!$F117="","",编写对白!$F117)</f>
        <v/>
      </c>
      <c r="E118" t="str">
        <f>IF(编写对白!D117&lt;0,1,IF(编写对白!$D117="","",0))</f>
        <v/>
      </c>
      <c r="F118" t="str">
        <f>IF(编写对白!$D117="","",编写对白!$D117)</f>
        <v/>
      </c>
      <c r="G118" t="str">
        <f>IF(编写对白!$G117="","",编写对白!$G117)</f>
        <v/>
      </c>
      <c r="H118" t="str">
        <f t="shared" si="22"/>
        <v/>
      </c>
      <c r="I118" t="str">
        <f t="shared" si="23"/>
        <v/>
      </c>
      <c r="J118" t="str">
        <f t="shared" si="24"/>
        <v/>
      </c>
      <c r="K118" t="str">
        <f t="shared" si="25"/>
        <v/>
      </c>
      <c r="L118" t="str">
        <f t="shared" si="26"/>
        <v/>
      </c>
      <c r="M118" t="str">
        <f t="shared" si="27"/>
        <v/>
      </c>
    </row>
    <row r="119" spans="1:13">
      <c r="A119" t="str">
        <f>IF(编写对白!$A118="","",编写对白!$A118)</f>
        <v/>
      </c>
      <c r="B119" t="str">
        <f>IF(编写对白!$B118="","",编写对白!$B118)</f>
        <v/>
      </c>
      <c r="C119" s="5" t="str">
        <f t="shared" si="21"/>
        <v/>
      </c>
      <c r="D119" t="str">
        <f>IF(编写对白!$F118="","",编写对白!$F118)</f>
        <v/>
      </c>
      <c r="E119" t="str">
        <f>IF(编写对白!D118&lt;0,1,IF(编写对白!$D118="","",0))</f>
        <v/>
      </c>
      <c r="F119" t="str">
        <f>IF(编写对白!$D118="","",编写对白!$D118)</f>
        <v/>
      </c>
      <c r="G119" t="str">
        <f>IF(编写对白!$G118="","",编写对白!$G118)</f>
        <v/>
      </c>
      <c r="H119" t="str">
        <f t="shared" si="22"/>
        <v/>
      </c>
      <c r="I119" t="str">
        <f t="shared" si="23"/>
        <v/>
      </c>
      <c r="J119" t="str">
        <f t="shared" si="24"/>
        <v/>
      </c>
      <c r="K119" t="str">
        <f t="shared" si="25"/>
        <v/>
      </c>
      <c r="L119" t="str">
        <f t="shared" si="26"/>
        <v/>
      </c>
      <c r="M119" t="str">
        <f t="shared" si="27"/>
        <v/>
      </c>
    </row>
    <row r="120" spans="1:13">
      <c r="A120" t="str">
        <f>IF(编写对白!$A119="","",编写对白!$A119)</f>
        <v/>
      </c>
      <c r="B120" t="str">
        <f>IF(编写对白!$B119="","",编写对白!$B119)</f>
        <v/>
      </c>
      <c r="C120" s="5" t="str">
        <f t="shared" si="21"/>
        <v/>
      </c>
      <c r="D120" t="str">
        <f>IF(编写对白!$F119="","",编写对白!$F119)</f>
        <v/>
      </c>
      <c r="E120" t="str">
        <f>IF(编写对白!D119&lt;0,1,IF(编写对白!$D119="","",0))</f>
        <v/>
      </c>
      <c r="F120" t="str">
        <f>IF(编写对白!$D119="","",编写对白!$D119)</f>
        <v/>
      </c>
      <c r="G120" t="str">
        <f>IF(编写对白!$G119="","",编写对白!$G119)</f>
        <v/>
      </c>
      <c r="H120" t="str">
        <f t="shared" si="22"/>
        <v/>
      </c>
      <c r="I120" t="str">
        <f t="shared" si="23"/>
        <v/>
      </c>
      <c r="J120" t="str">
        <f t="shared" si="24"/>
        <v/>
      </c>
      <c r="K120" t="str">
        <f t="shared" si="25"/>
        <v/>
      </c>
      <c r="L120" t="str">
        <f t="shared" si="26"/>
        <v/>
      </c>
      <c r="M120" t="str">
        <f t="shared" si="27"/>
        <v/>
      </c>
    </row>
    <row r="121" spans="1:13">
      <c r="A121" t="str">
        <f>IF(编写对白!$A120="","",编写对白!$A120)</f>
        <v/>
      </c>
      <c r="B121" t="str">
        <f>IF(编写对白!$B120="","",编写对白!$B120)</f>
        <v/>
      </c>
      <c r="C121" s="5" t="str">
        <f t="shared" si="21"/>
        <v/>
      </c>
      <c r="D121" t="str">
        <f>IF(编写对白!$F120="","",编写对白!$F120)</f>
        <v/>
      </c>
      <c r="E121" t="str">
        <f>IF(编写对白!D120&lt;0,1,IF(编写对白!$D120="","",0))</f>
        <v/>
      </c>
      <c r="F121" t="str">
        <f>IF(编写对白!$D120="","",编写对白!$D120)</f>
        <v/>
      </c>
      <c r="G121" t="str">
        <f>IF(编写对白!$G120="","",编写对白!$G120)</f>
        <v/>
      </c>
      <c r="H121" t="str">
        <f t="shared" si="22"/>
        <v/>
      </c>
      <c r="I121" t="str">
        <f t="shared" si="23"/>
        <v/>
      </c>
      <c r="J121" t="str">
        <f t="shared" si="24"/>
        <v/>
      </c>
      <c r="K121" t="str">
        <f t="shared" si="25"/>
        <v/>
      </c>
      <c r="L121" t="str">
        <f t="shared" si="26"/>
        <v/>
      </c>
      <c r="M121" t="str">
        <f t="shared" si="27"/>
        <v/>
      </c>
    </row>
    <row r="122" spans="1:13">
      <c r="A122" t="str">
        <f>IF(编写对白!$A121="","",编写对白!$A121)</f>
        <v/>
      </c>
      <c r="B122" t="str">
        <f>IF(编写对白!$B121="","",编写对白!$B121)</f>
        <v/>
      </c>
      <c r="C122" s="5" t="str">
        <f t="shared" si="21"/>
        <v/>
      </c>
      <c r="D122" t="str">
        <f>IF(编写对白!$F121="","",编写对白!$F121)</f>
        <v/>
      </c>
      <c r="E122" t="str">
        <f>IF(编写对白!D121&lt;0,1,IF(编写对白!$D121="","",0))</f>
        <v/>
      </c>
      <c r="F122" t="str">
        <f>IF(编写对白!$D121="","",编写对白!$D121)</f>
        <v/>
      </c>
      <c r="G122" t="str">
        <f>IF(编写对白!$G121="","",编写对白!$G121)</f>
        <v/>
      </c>
      <c r="H122" t="str">
        <f t="shared" si="22"/>
        <v/>
      </c>
      <c r="I122" t="str">
        <f t="shared" si="23"/>
        <v/>
      </c>
      <c r="J122" t="str">
        <f t="shared" si="24"/>
        <v/>
      </c>
      <c r="K122" t="str">
        <f t="shared" si="25"/>
        <v/>
      </c>
      <c r="L122" t="str">
        <f t="shared" si="26"/>
        <v/>
      </c>
      <c r="M122" t="str">
        <f t="shared" si="27"/>
        <v/>
      </c>
    </row>
    <row r="123" spans="1:13">
      <c r="A123" t="str">
        <f>IF(编写对白!$A122="","",编写对白!$A122)</f>
        <v/>
      </c>
      <c r="B123" t="str">
        <f>IF(编写对白!$B122="","",编写对白!$B122)</f>
        <v/>
      </c>
      <c r="C123" s="5" t="str">
        <f t="shared" si="21"/>
        <v/>
      </c>
      <c r="D123" t="str">
        <f>IF(编写对白!$F122="","",编写对白!$F122)</f>
        <v/>
      </c>
      <c r="E123" t="str">
        <f>IF(编写对白!D122&lt;0,1,IF(编写对白!$D122="","",0))</f>
        <v/>
      </c>
      <c r="F123" t="str">
        <f>IF(编写对白!$D122="","",编写对白!$D122)</f>
        <v/>
      </c>
      <c r="G123" t="str">
        <f>IF(编写对白!$G122="","",编写对白!$G122)</f>
        <v/>
      </c>
      <c r="H123" t="str">
        <f t="shared" si="22"/>
        <v/>
      </c>
      <c r="I123" t="str">
        <f t="shared" si="23"/>
        <v/>
      </c>
      <c r="J123" t="str">
        <f t="shared" si="24"/>
        <v/>
      </c>
      <c r="K123" t="str">
        <f t="shared" si="25"/>
        <v/>
      </c>
      <c r="L123" t="str">
        <f t="shared" si="26"/>
        <v/>
      </c>
      <c r="M123" t="str">
        <f t="shared" si="27"/>
        <v/>
      </c>
    </row>
    <row r="124" spans="1:13">
      <c r="A124" t="str">
        <f>IF(编写对白!$A123="","",编写对白!$A123)</f>
        <v/>
      </c>
      <c r="B124" t="str">
        <f>IF(编写对白!$B123="","",编写对白!$B123)</f>
        <v/>
      </c>
      <c r="C124" s="5" t="str">
        <f t="shared" si="21"/>
        <v/>
      </c>
      <c r="D124" t="str">
        <f>IF(编写对白!$F123="","",编写对白!$F123)</f>
        <v/>
      </c>
      <c r="E124" t="str">
        <f>IF(编写对白!D123&lt;0,1,IF(编写对白!$D123="","",0))</f>
        <v/>
      </c>
      <c r="F124" t="str">
        <f>IF(编写对白!$D123="","",编写对白!$D123)</f>
        <v/>
      </c>
      <c r="G124" t="str">
        <f>IF(编写对白!$G123="","",编写对白!$G123)</f>
        <v/>
      </c>
      <c r="H124" t="str">
        <f t="shared" si="22"/>
        <v/>
      </c>
      <c r="I124" t="str">
        <f t="shared" si="23"/>
        <v/>
      </c>
      <c r="J124" t="str">
        <f t="shared" si="24"/>
        <v/>
      </c>
      <c r="K124" t="str">
        <f t="shared" si="25"/>
        <v/>
      </c>
      <c r="L124" t="str">
        <f t="shared" si="26"/>
        <v/>
      </c>
      <c r="M124" t="str">
        <f t="shared" si="27"/>
        <v/>
      </c>
    </row>
    <row r="125" spans="1:13">
      <c r="A125" t="str">
        <f>IF(编写对白!$A124="","",编写对白!$A124)</f>
        <v/>
      </c>
      <c r="B125" t="str">
        <f>IF(编写对白!$B124="","",编写对白!$B124)</f>
        <v/>
      </c>
      <c r="C125" s="5" t="str">
        <f t="shared" si="21"/>
        <v/>
      </c>
      <c r="D125" t="str">
        <f>IF(编写对白!$F124="","",编写对白!$F124)</f>
        <v/>
      </c>
      <c r="E125" t="str">
        <f>IF(编写对白!D124&lt;0,1,IF(编写对白!$D124="","",0))</f>
        <v/>
      </c>
      <c r="F125" t="str">
        <f>IF(编写对白!$D124="","",编写对白!$D124)</f>
        <v/>
      </c>
      <c r="G125" t="str">
        <f>IF(编写对白!$G124="","",编写对白!$G124)</f>
        <v/>
      </c>
      <c r="H125" t="str">
        <f t="shared" si="22"/>
        <v/>
      </c>
      <c r="I125" t="str">
        <f t="shared" si="23"/>
        <v/>
      </c>
      <c r="J125" t="str">
        <f t="shared" si="24"/>
        <v/>
      </c>
      <c r="K125" t="str">
        <f t="shared" si="25"/>
        <v/>
      </c>
      <c r="L125" t="str">
        <f t="shared" si="26"/>
        <v/>
      </c>
      <c r="M125" t="str">
        <f t="shared" si="27"/>
        <v/>
      </c>
    </row>
    <row r="126" spans="1:13">
      <c r="A126" t="str">
        <f>IF(编写对白!$A125="","",编写对白!$A125)</f>
        <v/>
      </c>
      <c r="B126" t="str">
        <f>IF(编写对白!$B125="","",编写对白!$B125)</f>
        <v/>
      </c>
      <c r="C126" s="5" t="str">
        <f t="shared" si="21"/>
        <v/>
      </c>
      <c r="D126" t="str">
        <f>IF(编写对白!$F125="","",编写对白!$F125)</f>
        <v/>
      </c>
      <c r="E126" t="str">
        <f>IF(编写对白!D125&lt;0,1,IF(编写对白!$D125="","",0))</f>
        <v/>
      </c>
      <c r="F126" t="str">
        <f>IF(编写对白!$D125="","",编写对白!$D125)</f>
        <v/>
      </c>
      <c r="G126" t="str">
        <f>IF(编写对白!$G125="","",编写对白!$G125)</f>
        <v/>
      </c>
      <c r="H126" t="str">
        <f t="shared" si="22"/>
        <v/>
      </c>
      <c r="I126" t="str">
        <f t="shared" si="23"/>
        <v/>
      </c>
      <c r="J126" t="str">
        <f t="shared" si="24"/>
        <v/>
      </c>
      <c r="K126" t="str">
        <f t="shared" si="25"/>
        <v/>
      </c>
      <c r="L126" t="str">
        <f t="shared" si="26"/>
        <v/>
      </c>
      <c r="M126" t="str">
        <f t="shared" si="27"/>
        <v/>
      </c>
    </row>
    <row r="127" spans="1:13">
      <c r="A127" t="str">
        <f>IF(编写对白!$A126="","",编写对白!$A126)</f>
        <v/>
      </c>
      <c r="B127" t="str">
        <f>IF(编写对白!$B126="","",编写对白!$B126)</f>
        <v/>
      </c>
      <c r="C127" s="5" t="str">
        <f t="shared" si="21"/>
        <v/>
      </c>
      <c r="D127" t="str">
        <f>IF(编写对白!$F126="","",编写对白!$F126)</f>
        <v/>
      </c>
      <c r="E127" t="str">
        <f>IF(编写对白!D126&lt;0,1,IF(编写对白!$D126="","",0))</f>
        <v/>
      </c>
      <c r="F127" t="str">
        <f>IF(编写对白!$D126="","",编写对白!$D126)</f>
        <v/>
      </c>
      <c r="G127" t="str">
        <f>IF(编写对白!$G126="","",编写对白!$G126)</f>
        <v/>
      </c>
      <c r="H127" t="str">
        <f t="shared" si="22"/>
        <v/>
      </c>
      <c r="I127" t="str">
        <f t="shared" si="23"/>
        <v/>
      </c>
      <c r="J127" t="str">
        <f t="shared" si="24"/>
        <v/>
      </c>
      <c r="K127" t="str">
        <f t="shared" si="25"/>
        <v/>
      </c>
      <c r="L127" t="str">
        <f t="shared" si="26"/>
        <v/>
      </c>
      <c r="M127" t="str">
        <f t="shared" si="27"/>
        <v/>
      </c>
    </row>
    <row r="128" spans="1:13">
      <c r="A128" t="str">
        <f>IF(编写对白!$A127="","",编写对白!$A127)</f>
        <v/>
      </c>
      <c r="B128" t="str">
        <f>IF(编写对白!$B127="","",编写对白!$B127)</f>
        <v/>
      </c>
      <c r="C128" s="5" t="str">
        <f t="shared" si="21"/>
        <v/>
      </c>
      <c r="D128" t="str">
        <f>IF(编写对白!$F127="","",编写对白!$F127)</f>
        <v/>
      </c>
      <c r="E128" t="str">
        <f>IF(编写对白!D127&lt;0,1,IF(编写对白!$D127="","",0))</f>
        <v/>
      </c>
      <c r="F128" t="str">
        <f>IF(编写对白!$D127="","",编写对白!$D127)</f>
        <v/>
      </c>
      <c r="G128" t="str">
        <f>IF(编写对白!$G127="","",编写对白!$G127)</f>
        <v/>
      </c>
      <c r="H128" t="str">
        <f t="shared" si="22"/>
        <v/>
      </c>
      <c r="I128" t="str">
        <f t="shared" si="23"/>
        <v/>
      </c>
      <c r="J128" t="str">
        <f t="shared" si="24"/>
        <v/>
      </c>
      <c r="K128" t="str">
        <f t="shared" si="25"/>
        <v/>
      </c>
      <c r="L128" t="str">
        <f t="shared" si="26"/>
        <v/>
      </c>
      <c r="M128" t="str">
        <f t="shared" si="27"/>
        <v/>
      </c>
    </row>
    <row r="129" spans="1:13">
      <c r="A129" t="str">
        <f>IF(编写对白!$A128="","",编写对白!$A128)</f>
        <v/>
      </c>
      <c r="B129" t="str">
        <f>IF(编写对白!$B128="","",编写对白!$B128)</f>
        <v/>
      </c>
      <c r="C129" s="5" t="str">
        <f t="shared" si="21"/>
        <v/>
      </c>
      <c r="D129" t="str">
        <f>IF(编写对白!$F128="","",编写对白!$F128)</f>
        <v/>
      </c>
      <c r="E129" t="str">
        <f>IF(编写对白!D128&lt;0,1,IF(编写对白!$D128="","",0))</f>
        <v/>
      </c>
      <c r="F129" t="str">
        <f>IF(编写对白!$D128="","",编写对白!$D128)</f>
        <v/>
      </c>
      <c r="G129" t="str">
        <f>IF(编写对白!$G128="","",编写对白!$G128)</f>
        <v/>
      </c>
      <c r="H129" t="str">
        <f t="shared" si="22"/>
        <v/>
      </c>
      <c r="I129" t="str">
        <f t="shared" si="23"/>
        <v/>
      </c>
      <c r="J129" t="str">
        <f t="shared" si="24"/>
        <v/>
      </c>
      <c r="K129" t="str">
        <f t="shared" si="25"/>
        <v/>
      </c>
      <c r="L129" t="str">
        <f t="shared" si="26"/>
        <v/>
      </c>
      <c r="M129" t="str">
        <f t="shared" si="27"/>
        <v/>
      </c>
    </row>
    <row r="130" spans="1:13">
      <c r="A130" t="str">
        <f>IF(编写对白!$A129="","",编写对白!$A129)</f>
        <v/>
      </c>
      <c r="B130" t="str">
        <f>IF(编写对白!$B129="","",编写对白!$B129)</f>
        <v/>
      </c>
      <c r="C130" s="5" t="str">
        <f t="shared" si="21"/>
        <v/>
      </c>
      <c r="D130" t="str">
        <f>IF(编写对白!$F129="","",编写对白!$F129)</f>
        <v/>
      </c>
      <c r="E130" t="str">
        <f>IF(编写对白!D129&lt;0,1,IF(编写对白!$D129="","",0))</f>
        <v/>
      </c>
      <c r="F130" t="str">
        <f>IF(编写对白!$D129="","",编写对白!$D129)</f>
        <v/>
      </c>
      <c r="G130" t="str">
        <f>IF(编写对白!$G129="","",编写对白!$G129)</f>
        <v/>
      </c>
      <c r="H130" t="str">
        <f t="shared" si="22"/>
        <v/>
      </c>
      <c r="I130" t="str">
        <f t="shared" si="23"/>
        <v/>
      </c>
      <c r="J130" t="str">
        <f t="shared" si="24"/>
        <v/>
      </c>
      <c r="K130" t="str">
        <f t="shared" si="25"/>
        <v/>
      </c>
      <c r="L130" t="str">
        <f t="shared" si="26"/>
        <v/>
      </c>
      <c r="M130" t="str">
        <f t="shared" si="27"/>
        <v/>
      </c>
    </row>
    <row r="131" spans="1:13">
      <c r="A131" t="str">
        <f>IF(编写对白!$A130="","",编写对白!$A130)</f>
        <v/>
      </c>
      <c r="B131" t="str">
        <f>IF(编写对白!$B130="","",编写对白!$B130)</f>
        <v/>
      </c>
      <c r="C131" s="5" t="str">
        <f t="shared" si="21"/>
        <v/>
      </c>
      <c r="D131" t="str">
        <f>IF(编写对白!$F130="","",编写对白!$F130)</f>
        <v/>
      </c>
      <c r="E131" t="str">
        <f>IF(编写对白!D130&lt;0,1,IF(编写对白!$D130="","",0))</f>
        <v/>
      </c>
      <c r="F131" t="str">
        <f>IF(编写对白!$D130="","",编写对白!$D130)</f>
        <v/>
      </c>
      <c r="G131" t="str">
        <f>IF(编写对白!$G130="","",编写对白!$G130)</f>
        <v/>
      </c>
      <c r="H131" t="str">
        <f t="shared" si="22"/>
        <v/>
      </c>
      <c r="I131" t="str">
        <f t="shared" si="23"/>
        <v/>
      </c>
      <c r="J131" t="str">
        <f t="shared" si="24"/>
        <v/>
      </c>
      <c r="K131" t="str">
        <f t="shared" si="25"/>
        <v/>
      </c>
      <c r="L131" t="str">
        <f t="shared" si="26"/>
        <v/>
      </c>
      <c r="M131" t="str">
        <f t="shared" si="27"/>
        <v/>
      </c>
    </row>
    <row r="132" spans="1:13">
      <c r="A132" t="str">
        <f>IF(编写对白!$A131="","",编写对白!$A131)</f>
        <v/>
      </c>
      <c r="B132" t="str">
        <f>IF(编写对白!$B131="","",编写对白!$B131)</f>
        <v/>
      </c>
      <c r="C132" s="5" t="str">
        <f t="shared" si="21"/>
        <v/>
      </c>
      <c r="D132" t="str">
        <f>IF(编写对白!$F131="","",编写对白!$F131)</f>
        <v/>
      </c>
      <c r="E132" t="str">
        <f>IF(编写对白!D131&lt;0,1,IF(编写对白!$D131="","",0))</f>
        <v/>
      </c>
      <c r="F132" t="str">
        <f>IF(编写对白!$D131="","",编写对白!$D131)</f>
        <v/>
      </c>
      <c r="G132" t="str">
        <f>IF(编写对白!$G131="","",编写对白!$G131)</f>
        <v/>
      </c>
      <c r="H132" t="str">
        <f t="shared" si="22"/>
        <v/>
      </c>
      <c r="I132" t="str">
        <f t="shared" si="23"/>
        <v/>
      </c>
      <c r="J132" t="str">
        <f t="shared" si="24"/>
        <v/>
      </c>
      <c r="K132" t="str">
        <f t="shared" si="25"/>
        <v/>
      </c>
      <c r="L132" t="str">
        <f t="shared" si="26"/>
        <v/>
      </c>
      <c r="M132" t="str">
        <f t="shared" si="27"/>
        <v/>
      </c>
    </row>
    <row r="133" spans="1:13">
      <c r="A133" t="str">
        <f>IF(编写对白!$A132="","",编写对白!$A132)</f>
        <v/>
      </c>
      <c r="B133" t="str">
        <f>IF(编写对白!$B132="","",编写对白!$B132)</f>
        <v/>
      </c>
      <c r="C133" s="5" t="str">
        <f t="shared" ref="C133:C164" si="28">IF($A133="","",$A133/10)</f>
        <v/>
      </c>
      <c r="D133" t="str">
        <f>IF(编写对白!$F132="","",编写对白!$F132)</f>
        <v/>
      </c>
      <c r="E133" t="str">
        <f>IF(编写对白!D132&lt;0,1,IF(编写对白!$D132="","",0))</f>
        <v/>
      </c>
      <c r="F133" t="str">
        <f>IF(编写对白!$D132="","",编写对白!$D132)</f>
        <v/>
      </c>
      <c r="G133" t="str">
        <f>IF(编写对白!$G132="","",编写对白!$G132)</f>
        <v/>
      </c>
      <c r="H133" t="str">
        <f t="shared" ref="H133:H164" si="29">IF($A133="","",1)</f>
        <v/>
      </c>
      <c r="I133" t="str">
        <f t="shared" ref="I133:I164" si="30">IF($G133="","",ROUNDUP(LEN($G133)/3+1,0))</f>
        <v/>
      </c>
      <c r="J133" t="str">
        <f t="shared" ref="J133:J164" si="31">IF($A133="","",1)</f>
        <v/>
      </c>
      <c r="K133" t="str">
        <f t="shared" ref="K133:K164" si="32">IF($A133="","",-1)</f>
        <v/>
      </c>
      <c r="L133" t="str">
        <f t="shared" ref="L133:L164" si="33">IF($A133="","",-1)</f>
        <v/>
      </c>
      <c r="M133" t="str">
        <f t="shared" ref="M133:M164" si="34">IF($A133="","",-1)</f>
        <v/>
      </c>
    </row>
    <row r="134" spans="1:13">
      <c r="A134" t="str">
        <f>IF(编写对白!$A133="","",编写对白!$A133)</f>
        <v/>
      </c>
      <c r="B134" t="str">
        <f>IF(编写对白!$B133="","",编写对白!$B133)</f>
        <v/>
      </c>
      <c r="C134" s="5" t="str">
        <f t="shared" si="28"/>
        <v/>
      </c>
      <c r="D134" t="str">
        <f>IF(编写对白!$F133="","",编写对白!$F133)</f>
        <v/>
      </c>
      <c r="E134" t="str">
        <f>IF(编写对白!D133&lt;0,1,IF(编写对白!$D133="","",0))</f>
        <v/>
      </c>
      <c r="F134" t="str">
        <f>IF(编写对白!$D133="","",编写对白!$D133)</f>
        <v/>
      </c>
      <c r="G134" t="str">
        <f>IF(编写对白!$G133="","",编写对白!$G133)</f>
        <v/>
      </c>
      <c r="H134" t="str">
        <f t="shared" si="29"/>
        <v/>
      </c>
      <c r="I134" t="str">
        <f t="shared" si="30"/>
        <v/>
      </c>
      <c r="J134" t="str">
        <f t="shared" si="31"/>
        <v/>
      </c>
      <c r="K134" t="str">
        <f t="shared" si="32"/>
        <v/>
      </c>
      <c r="L134" t="str">
        <f t="shared" si="33"/>
        <v/>
      </c>
      <c r="M134" t="str">
        <f t="shared" si="34"/>
        <v/>
      </c>
    </row>
    <row r="135" spans="1:13">
      <c r="A135" t="str">
        <f>IF(编写对白!$A134="","",编写对白!$A134)</f>
        <v/>
      </c>
      <c r="B135" t="str">
        <f>IF(编写对白!$B134="","",编写对白!$B134)</f>
        <v/>
      </c>
      <c r="C135" s="5" t="str">
        <f t="shared" si="28"/>
        <v/>
      </c>
      <c r="D135" t="str">
        <f>IF(编写对白!$F134="","",编写对白!$F134)</f>
        <v/>
      </c>
      <c r="E135" t="str">
        <f>IF(编写对白!D134&lt;0,1,IF(编写对白!$D134="","",0))</f>
        <v/>
      </c>
      <c r="F135" t="str">
        <f>IF(编写对白!$D134="","",编写对白!$D134)</f>
        <v/>
      </c>
      <c r="G135" t="str">
        <f>IF(编写对白!$G134="","",编写对白!$G134)</f>
        <v/>
      </c>
      <c r="H135" t="str">
        <f t="shared" si="29"/>
        <v/>
      </c>
      <c r="I135" t="str">
        <f t="shared" si="30"/>
        <v/>
      </c>
      <c r="J135" t="str">
        <f t="shared" si="31"/>
        <v/>
      </c>
      <c r="K135" t="str">
        <f t="shared" si="32"/>
        <v/>
      </c>
      <c r="L135" t="str">
        <f t="shared" si="33"/>
        <v/>
      </c>
      <c r="M135" t="str">
        <f t="shared" si="34"/>
        <v/>
      </c>
    </row>
    <row r="136" spans="1:13">
      <c r="A136" t="str">
        <f>IF(编写对白!$A135="","",编写对白!$A135)</f>
        <v/>
      </c>
      <c r="B136" t="str">
        <f>IF(编写对白!$B135="","",编写对白!$B135)</f>
        <v/>
      </c>
      <c r="C136" s="5" t="str">
        <f t="shared" si="28"/>
        <v/>
      </c>
      <c r="D136" t="str">
        <f>IF(编写对白!$F135="","",编写对白!$F135)</f>
        <v/>
      </c>
      <c r="E136" t="str">
        <f>IF(编写对白!D135&lt;0,1,IF(编写对白!$D135="","",0))</f>
        <v/>
      </c>
      <c r="F136" t="str">
        <f>IF(编写对白!$D135="","",编写对白!$D135)</f>
        <v/>
      </c>
      <c r="G136" t="str">
        <f>IF(编写对白!$G135="","",编写对白!$G135)</f>
        <v/>
      </c>
      <c r="H136" t="str">
        <f t="shared" si="29"/>
        <v/>
      </c>
      <c r="I136" t="str">
        <f t="shared" si="30"/>
        <v/>
      </c>
      <c r="J136" t="str">
        <f t="shared" si="31"/>
        <v/>
      </c>
      <c r="K136" t="str">
        <f t="shared" si="32"/>
        <v/>
      </c>
      <c r="L136" t="str">
        <f t="shared" si="33"/>
        <v/>
      </c>
      <c r="M136" t="str">
        <f t="shared" si="34"/>
        <v/>
      </c>
    </row>
    <row r="137" spans="1:13">
      <c r="A137" t="str">
        <f>IF(编写对白!$A136="","",编写对白!$A136)</f>
        <v/>
      </c>
      <c r="B137" t="str">
        <f>IF(编写对白!$B136="","",编写对白!$B136)</f>
        <v/>
      </c>
      <c r="C137" s="5" t="str">
        <f t="shared" si="28"/>
        <v/>
      </c>
      <c r="D137" t="str">
        <f>IF(编写对白!$F136="","",编写对白!$F136)</f>
        <v/>
      </c>
      <c r="E137" t="str">
        <f>IF(编写对白!D136&lt;0,1,IF(编写对白!$D136="","",0))</f>
        <v/>
      </c>
      <c r="F137" t="str">
        <f>IF(编写对白!$D136="","",编写对白!$D136)</f>
        <v/>
      </c>
      <c r="G137" t="str">
        <f>IF(编写对白!$G136="","",编写对白!$G136)</f>
        <v/>
      </c>
      <c r="H137" t="str">
        <f t="shared" si="29"/>
        <v/>
      </c>
      <c r="I137" t="str">
        <f t="shared" si="30"/>
        <v/>
      </c>
      <c r="J137" t="str">
        <f t="shared" si="31"/>
        <v/>
      </c>
      <c r="K137" t="str">
        <f t="shared" si="32"/>
        <v/>
      </c>
      <c r="L137" t="str">
        <f t="shared" si="33"/>
        <v/>
      </c>
      <c r="M137" t="str">
        <f t="shared" si="34"/>
        <v/>
      </c>
    </row>
    <row r="138" spans="1:13">
      <c r="A138" t="str">
        <f>IF(编写对白!$A137="","",编写对白!$A137)</f>
        <v/>
      </c>
      <c r="B138" t="str">
        <f>IF(编写对白!$B137="","",编写对白!$B137)</f>
        <v/>
      </c>
      <c r="C138" s="5" t="str">
        <f t="shared" si="28"/>
        <v/>
      </c>
      <c r="D138" t="str">
        <f>IF(编写对白!$F137="","",编写对白!$F137)</f>
        <v/>
      </c>
      <c r="E138" t="str">
        <f>IF(编写对白!D137&lt;0,1,IF(编写对白!$D137="","",0))</f>
        <v/>
      </c>
      <c r="F138" t="str">
        <f>IF(编写对白!$D137="","",编写对白!$D137)</f>
        <v/>
      </c>
      <c r="G138" t="str">
        <f>IF(编写对白!$G137="","",编写对白!$G137)</f>
        <v/>
      </c>
      <c r="H138" t="str">
        <f t="shared" si="29"/>
        <v/>
      </c>
      <c r="I138" t="str">
        <f t="shared" si="30"/>
        <v/>
      </c>
      <c r="J138" t="str">
        <f t="shared" si="31"/>
        <v/>
      </c>
      <c r="K138" t="str">
        <f t="shared" si="32"/>
        <v/>
      </c>
      <c r="L138" t="str">
        <f t="shared" si="33"/>
        <v/>
      </c>
      <c r="M138" t="str">
        <f t="shared" si="34"/>
        <v/>
      </c>
    </row>
    <row r="139" spans="1:13">
      <c r="A139" t="str">
        <f>IF(编写对白!$A138="","",编写对白!$A138)</f>
        <v/>
      </c>
      <c r="B139" t="str">
        <f>IF(编写对白!$B138="","",编写对白!$B138)</f>
        <v/>
      </c>
      <c r="C139" s="5" t="str">
        <f t="shared" si="28"/>
        <v/>
      </c>
      <c r="D139" t="str">
        <f>IF(编写对白!$F138="","",编写对白!$F138)</f>
        <v/>
      </c>
      <c r="E139" t="str">
        <f>IF(编写对白!D138&lt;0,1,IF(编写对白!$D138="","",0))</f>
        <v/>
      </c>
      <c r="F139" t="str">
        <f>IF(编写对白!$D138="","",编写对白!$D138)</f>
        <v/>
      </c>
      <c r="G139" t="str">
        <f>IF(编写对白!$G138="","",编写对白!$G138)</f>
        <v/>
      </c>
      <c r="H139" t="str">
        <f t="shared" si="29"/>
        <v/>
      </c>
      <c r="I139" t="str">
        <f t="shared" si="30"/>
        <v/>
      </c>
      <c r="J139" t="str">
        <f t="shared" si="31"/>
        <v/>
      </c>
      <c r="K139" t="str">
        <f t="shared" si="32"/>
        <v/>
      </c>
      <c r="L139" t="str">
        <f t="shared" si="33"/>
        <v/>
      </c>
      <c r="M139" t="str">
        <f t="shared" si="34"/>
        <v/>
      </c>
    </row>
    <row r="140" spans="1:13">
      <c r="A140" t="str">
        <f>IF(编写对白!$A139="","",编写对白!$A139)</f>
        <v/>
      </c>
      <c r="B140" t="str">
        <f>IF(编写对白!$B139="","",编写对白!$B139)</f>
        <v/>
      </c>
      <c r="C140" s="5" t="str">
        <f t="shared" si="28"/>
        <v/>
      </c>
      <c r="D140" t="str">
        <f>IF(编写对白!$F139="","",编写对白!$F139)</f>
        <v/>
      </c>
      <c r="E140" t="str">
        <f>IF(编写对白!D139&lt;0,1,IF(编写对白!$D139="","",0))</f>
        <v/>
      </c>
      <c r="F140" t="str">
        <f>IF(编写对白!$D139="","",编写对白!$D139)</f>
        <v/>
      </c>
      <c r="G140" t="str">
        <f>IF(编写对白!$G139="","",编写对白!$G139)</f>
        <v/>
      </c>
      <c r="H140" t="str">
        <f t="shared" si="29"/>
        <v/>
      </c>
      <c r="I140" t="str">
        <f t="shared" si="30"/>
        <v/>
      </c>
      <c r="J140" t="str">
        <f t="shared" si="31"/>
        <v/>
      </c>
      <c r="K140" t="str">
        <f t="shared" si="32"/>
        <v/>
      </c>
      <c r="L140" t="str">
        <f t="shared" si="33"/>
        <v/>
      </c>
      <c r="M140" t="str">
        <f t="shared" si="34"/>
        <v/>
      </c>
    </row>
    <row r="141" spans="1:13">
      <c r="A141" t="str">
        <f>IF(编写对白!$A140="","",编写对白!$A140)</f>
        <v/>
      </c>
      <c r="B141" t="str">
        <f>IF(编写对白!$B140="","",编写对白!$B140)</f>
        <v/>
      </c>
      <c r="C141" s="5" t="str">
        <f t="shared" si="28"/>
        <v/>
      </c>
      <c r="D141" t="str">
        <f>IF(编写对白!$F140="","",编写对白!$F140)</f>
        <v/>
      </c>
      <c r="E141" t="str">
        <f>IF(编写对白!D140&lt;0,1,IF(编写对白!$D140="","",0))</f>
        <v/>
      </c>
      <c r="F141" t="str">
        <f>IF(编写对白!$D140="","",编写对白!$D140)</f>
        <v/>
      </c>
      <c r="G141" t="str">
        <f>IF(编写对白!$G140="","",编写对白!$G140)</f>
        <v/>
      </c>
      <c r="H141" t="str">
        <f t="shared" si="29"/>
        <v/>
      </c>
      <c r="I141" t="str">
        <f t="shared" si="30"/>
        <v/>
      </c>
      <c r="J141" t="str">
        <f t="shared" si="31"/>
        <v/>
      </c>
      <c r="K141" t="str">
        <f t="shared" si="32"/>
        <v/>
      </c>
      <c r="L141" t="str">
        <f t="shared" si="33"/>
        <v/>
      </c>
      <c r="M141" t="str">
        <f t="shared" si="34"/>
        <v/>
      </c>
    </row>
    <row r="142" spans="1:13">
      <c r="A142" t="str">
        <f>IF(编写对白!$A141="","",编写对白!$A141)</f>
        <v/>
      </c>
      <c r="B142" t="str">
        <f>IF(编写对白!$B141="","",编写对白!$B141)</f>
        <v/>
      </c>
      <c r="C142" s="5" t="str">
        <f t="shared" si="28"/>
        <v/>
      </c>
      <c r="D142" t="str">
        <f>IF(编写对白!$F141="","",编写对白!$F141)</f>
        <v/>
      </c>
      <c r="E142" t="str">
        <f>IF(编写对白!D141&lt;0,1,IF(编写对白!$D141="","",0))</f>
        <v/>
      </c>
      <c r="F142" t="str">
        <f>IF(编写对白!$D141="","",编写对白!$D141)</f>
        <v/>
      </c>
      <c r="G142" t="str">
        <f>IF(编写对白!$G141="","",编写对白!$G141)</f>
        <v/>
      </c>
      <c r="H142" t="str">
        <f t="shared" si="29"/>
        <v/>
      </c>
      <c r="I142" t="str">
        <f t="shared" si="30"/>
        <v/>
      </c>
      <c r="J142" t="str">
        <f t="shared" si="31"/>
        <v/>
      </c>
      <c r="K142" t="str">
        <f t="shared" si="32"/>
        <v/>
      </c>
      <c r="L142" t="str">
        <f t="shared" si="33"/>
        <v/>
      </c>
      <c r="M142" t="str">
        <f t="shared" si="34"/>
        <v/>
      </c>
    </row>
    <row r="143" spans="1:13">
      <c r="A143" t="str">
        <f>IF(编写对白!$A142="","",编写对白!$A142)</f>
        <v/>
      </c>
      <c r="B143" t="str">
        <f>IF(编写对白!$B142="","",编写对白!$B142)</f>
        <v/>
      </c>
      <c r="C143" s="5" t="str">
        <f t="shared" si="28"/>
        <v/>
      </c>
      <c r="D143" t="str">
        <f>IF(编写对白!$F142="","",编写对白!$F142)</f>
        <v/>
      </c>
      <c r="E143" t="str">
        <f>IF(编写对白!D142&lt;0,1,IF(编写对白!$D142="","",0))</f>
        <v/>
      </c>
      <c r="F143" t="str">
        <f>IF(编写对白!$D142="","",编写对白!$D142)</f>
        <v/>
      </c>
      <c r="G143" t="str">
        <f>IF(编写对白!$G142="","",编写对白!$G142)</f>
        <v/>
      </c>
      <c r="H143" t="str">
        <f t="shared" si="29"/>
        <v/>
      </c>
      <c r="I143" t="str">
        <f t="shared" si="30"/>
        <v/>
      </c>
      <c r="J143" t="str">
        <f t="shared" si="31"/>
        <v/>
      </c>
      <c r="K143" t="str">
        <f t="shared" si="32"/>
        <v/>
      </c>
      <c r="L143" t="str">
        <f t="shared" si="33"/>
        <v/>
      </c>
      <c r="M143" t="str">
        <f t="shared" si="34"/>
        <v/>
      </c>
    </row>
    <row r="144" spans="1:13">
      <c r="A144" t="str">
        <f>IF(编写对白!$A143="","",编写对白!$A143)</f>
        <v/>
      </c>
      <c r="B144" t="str">
        <f>IF(编写对白!$B143="","",编写对白!$B143)</f>
        <v/>
      </c>
      <c r="C144" s="5" t="str">
        <f t="shared" si="28"/>
        <v/>
      </c>
      <c r="D144" t="str">
        <f>IF(编写对白!$F143="","",编写对白!$F143)</f>
        <v/>
      </c>
      <c r="E144" t="str">
        <f>IF(编写对白!D143&lt;0,1,IF(编写对白!$D143="","",0))</f>
        <v/>
      </c>
      <c r="F144" t="str">
        <f>IF(编写对白!$D143="","",编写对白!$D143)</f>
        <v/>
      </c>
      <c r="G144" t="str">
        <f>IF(编写对白!$G143="","",编写对白!$G143)</f>
        <v/>
      </c>
      <c r="H144" t="str">
        <f t="shared" si="29"/>
        <v/>
      </c>
      <c r="I144" t="str">
        <f t="shared" si="30"/>
        <v/>
      </c>
      <c r="J144" t="str">
        <f t="shared" si="31"/>
        <v/>
      </c>
      <c r="K144" t="str">
        <f t="shared" si="32"/>
        <v/>
      </c>
      <c r="L144" t="str">
        <f t="shared" si="33"/>
        <v/>
      </c>
      <c r="M144" t="str">
        <f t="shared" si="34"/>
        <v/>
      </c>
    </row>
    <row r="145" spans="1:13">
      <c r="A145" t="str">
        <f>IF(编写对白!$A144="","",编写对白!$A144)</f>
        <v/>
      </c>
      <c r="B145" t="str">
        <f>IF(编写对白!$B144="","",编写对白!$B144)</f>
        <v/>
      </c>
      <c r="C145" s="5" t="str">
        <f t="shared" si="28"/>
        <v/>
      </c>
      <c r="D145" t="str">
        <f>IF(编写对白!$F144="","",编写对白!$F144)</f>
        <v/>
      </c>
      <c r="E145" t="str">
        <f>IF(编写对白!D144&lt;0,1,IF(编写对白!$D144="","",0))</f>
        <v/>
      </c>
      <c r="F145" t="str">
        <f>IF(编写对白!$D144="","",编写对白!$D144)</f>
        <v/>
      </c>
      <c r="G145" t="str">
        <f>IF(编写对白!$G144="","",编写对白!$G144)</f>
        <v/>
      </c>
      <c r="H145" t="str">
        <f t="shared" si="29"/>
        <v/>
      </c>
      <c r="I145" t="str">
        <f t="shared" si="30"/>
        <v/>
      </c>
      <c r="J145" t="str">
        <f t="shared" si="31"/>
        <v/>
      </c>
      <c r="K145" t="str">
        <f t="shared" si="32"/>
        <v/>
      </c>
      <c r="L145" t="str">
        <f t="shared" si="33"/>
        <v/>
      </c>
      <c r="M145" t="str">
        <f t="shared" si="34"/>
        <v/>
      </c>
    </row>
    <row r="146" spans="1:13">
      <c r="A146" t="str">
        <f>IF(编写对白!$A145="","",编写对白!$A145)</f>
        <v/>
      </c>
      <c r="B146" t="str">
        <f>IF(编写对白!$B145="","",编写对白!$B145)</f>
        <v/>
      </c>
      <c r="C146" s="5" t="str">
        <f t="shared" si="28"/>
        <v/>
      </c>
      <c r="D146" t="str">
        <f>IF(编写对白!$F145="","",编写对白!$F145)</f>
        <v/>
      </c>
      <c r="E146" t="str">
        <f>IF(编写对白!D145&lt;0,1,IF(编写对白!$D145="","",0))</f>
        <v/>
      </c>
      <c r="F146" t="str">
        <f>IF(编写对白!$D145="","",编写对白!$D145)</f>
        <v/>
      </c>
      <c r="G146" t="str">
        <f>IF(编写对白!$G145="","",编写对白!$G145)</f>
        <v/>
      </c>
      <c r="H146" t="str">
        <f t="shared" si="29"/>
        <v/>
      </c>
      <c r="I146" t="str">
        <f t="shared" si="30"/>
        <v/>
      </c>
      <c r="J146" t="str">
        <f t="shared" si="31"/>
        <v/>
      </c>
      <c r="K146" t="str">
        <f t="shared" si="32"/>
        <v/>
      </c>
      <c r="L146" t="str">
        <f t="shared" si="33"/>
        <v/>
      </c>
      <c r="M146" t="str">
        <f t="shared" si="34"/>
        <v/>
      </c>
    </row>
    <row r="147" spans="1:13">
      <c r="A147" t="str">
        <f>IF(编写对白!$A146="","",编写对白!$A146)</f>
        <v/>
      </c>
      <c r="B147" t="str">
        <f>IF(编写对白!$B146="","",编写对白!$B146)</f>
        <v/>
      </c>
      <c r="C147" s="5" t="str">
        <f t="shared" si="28"/>
        <v/>
      </c>
      <c r="D147" t="str">
        <f>IF(编写对白!$F146="","",编写对白!$F146)</f>
        <v/>
      </c>
      <c r="E147" t="str">
        <f>IF(编写对白!D146&lt;0,1,IF(编写对白!$D146="","",0))</f>
        <v/>
      </c>
      <c r="F147" t="str">
        <f>IF(编写对白!$D146="","",编写对白!$D146)</f>
        <v/>
      </c>
      <c r="G147" t="str">
        <f>IF(编写对白!$G146="","",编写对白!$G146)</f>
        <v/>
      </c>
      <c r="H147" t="str">
        <f t="shared" si="29"/>
        <v/>
      </c>
      <c r="I147" t="str">
        <f t="shared" si="30"/>
        <v/>
      </c>
      <c r="J147" t="str">
        <f t="shared" si="31"/>
        <v/>
      </c>
      <c r="K147" t="str">
        <f t="shared" si="32"/>
        <v/>
      </c>
      <c r="L147" t="str">
        <f t="shared" si="33"/>
        <v/>
      </c>
      <c r="M147" t="str">
        <f t="shared" si="34"/>
        <v/>
      </c>
    </row>
    <row r="148" spans="1:13">
      <c r="A148" t="str">
        <f>IF(编写对白!$A147="","",编写对白!$A147)</f>
        <v/>
      </c>
      <c r="B148" t="str">
        <f>IF(编写对白!$B147="","",编写对白!$B147)</f>
        <v/>
      </c>
      <c r="C148" s="5" t="str">
        <f t="shared" si="28"/>
        <v/>
      </c>
      <c r="D148" t="str">
        <f>IF(编写对白!$F147="","",编写对白!$F147)</f>
        <v/>
      </c>
      <c r="E148" t="str">
        <f>IF(编写对白!D147&lt;0,1,IF(编写对白!$D147="","",0))</f>
        <v/>
      </c>
      <c r="F148" t="str">
        <f>IF(编写对白!$D147="","",编写对白!$D147)</f>
        <v/>
      </c>
      <c r="G148" t="str">
        <f>IF(编写对白!$G147="","",编写对白!$G147)</f>
        <v/>
      </c>
      <c r="H148" t="str">
        <f t="shared" si="29"/>
        <v/>
      </c>
      <c r="I148" t="str">
        <f t="shared" si="30"/>
        <v/>
      </c>
      <c r="J148" t="str">
        <f t="shared" si="31"/>
        <v/>
      </c>
      <c r="K148" t="str">
        <f t="shared" si="32"/>
        <v/>
      </c>
      <c r="L148" t="str">
        <f t="shared" si="33"/>
        <v/>
      </c>
      <c r="M148" t="str">
        <f t="shared" si="34"/>
        <v/>
      </c>
    </row>
    <row r="149" spans="1:13">
      <c r="A149" t="str">
        <f>IF(编写对白!$A148="","",编写对白!$A148)</f>
        <v/>
      </c>
      <c r="B149" t="str">
        <f>IF(编写对白!$B148="","",编写对白!$B148)</f>
        <v/>
      </c>
      <c r="C149" s="5" t="str">
        <f t="shared" si="28"/>
        <v/>
      </c>
      <c r="D149" t="str">
        <f>IF(编写对白!$F148="","",编写对白!$F148)</f>
        <v/>
      </c>
      <c r="E149" t="str">
        <f>IF(编写对白!D148&lt;0,1,IF(编写对白!$D148="","",0))</f>
        <v/>
      </c>
      <c r="F149" t="str">
        <f>IF(编写对白!$D148="","",编写对白!$D148)</f>
        <v/>
      </c>
      <c r="G149" t="str">
        <f>IF(编写对白!$G148="","",编写对白!$G148)</f>
        <v/>
      </c>
      <c r="H149" t="str">
        <f t="shared" si="29"/>
        <v/>
      </c>
      <c r="I149" t="str">
        <f t="shared" si="30"/>
        <v/>
      </c>
      <c r="J149" t="str">
        <f t="shared" si="31"/>
        <v/>
      </c>
      <c r="K149" t="str">
        <f t="shared" si="32"/>
        <v/>
      </c>
      <c r="L149" t="str">
        <f t="shared" si="33"/>
        <v/>
      </c>
      <c r="M149" t="str">
        <f t="shared" si="34"/>
        <v/>
      </c>
    </row>
    <row r="150" spans="1:13">
      <c r="A150" t="str">
        <f>IF(编写对白!$A149="","",编写对白!$A149)</f>
        <v/>
      </c>
      <c r="B150" t="str">
        <f>IF(编写对白!$B149="","",编写对白!$B149)</f>
        <v/>
      </c>
      <c r="C150" s="5" t="str">
        <f t="shared" si="28"/>
        <v/>
      </c>
      <c r="D150" t="str">
        <f>IF(编写对白!$F149="","",编写对白!$F149)</f>
        <v/>
      </c>
      <c r="E150" t="str">
        <f>IF(编写对白!D149&lt;0,1,IF(编写对白!$D149="","",0))</f>
        <v/>
      </c>
      <c r="F150" t="str">
        <f>IF(编写对白!$D149="","",编写对白!$D149)</f>
        <v/>
      </c>
      <c r="G150" t="str">
        <f>IF(编写对白!$G149="","",编写对白!$G149)</f>
        <v/>
      </c>
      <c r="H150" t="str">
        <f t="shared" si="29"/>
        <v/>
      </c>
      <c r="I150" t="str">
        <f t="shared" si="30"/>
        <v/>
      </c>
      <c r="J150" t="str">
        <f t="shared" si="31"/>
        <v/>
      </c>
      <c r="K150" t="str">
        <f t="shared" si="32"/>
        <v/>
      </c>
      <c r="L150" t="str">
        <f t="shared" si="33"/>
        <v/>
      </c>
      <c r="M150" t="str">
        <f t="shared" si="34"/>
        <v/>
      </c>
    </row>
    <row r="151" spans="1:13">
      <c r="A151" t="str">
        <f>IF(编写对白!$A150="","",编写对白!$A150)</f>
        <v/>
      </c>
      <c r="B151" t="str">
        <f>IF(编写对白!$B150="","",编写对白!$B150)</f>
        <v/>
      </c>
      <c r="C151" s="5" t="str">
        <f t="shared" si="28"/>
        <v/>
      </c>
      <c r="D151" t="str">
        <f>IF(编写对白!$F150="","",编写对白!$F150)</f>
        <v/>
      </c>
      <c r="E151" t="str">
        <f>IF(编写对白!D150&lt;0,1,IF(编写对白!$D150="","",0))</f>
        <v/>
      </c>
      <c r="F151" t="str">
        <f>IF(编写对白!$D150="","",编写对白!$D150)</f>
        <v/>
      </c>
      <c r="G151" t="str">
        <f>IF(编写对白!$G150="","",编写对白!$G150)</f>
        <v/>
      </c>
      <c r="H151" t="str">
        <f t="shared" si="29"/>
        <v/>
      </c>
      <c r="I151" t="str">
        <f t="shared" si="30"/>
        <v/>
      </c>
      <c r="J151" t="str">
        <f t="shared" si="31"/>
        <v/>
      </c>
      <c r="K151" t="str">
        <f t="shared" si="32"/>
        <v/>
      </c>
      <c r="L151" t="str">
        <f t="shared" si="33"/>
        <v/>
      </c>
      <c r="M151" t="str">
        <f t="shared" si="34"/>
        <v/>
      </c>
    </row>
    <row r="152" spans="1:13">
      <c r="A152" t="str">
        <f>IF(编写对白!$A151="","",编写对白!$A151)</f>
        <v/>
      </c>
      <c r="B152" t="str">
        <f>IF(编写对白!$B151="","",编写对白!$B151)</f>
        <v/>
      </c>
      <c r="C152" s="5" t="str">
        <f t="shared" si="28"/>
        <v/>
      </c>
      <c r="D152" t="str">
        <f>IF(编写对白!$F151="","",编写对白!$F151)</f>
        <v/>
      </c>
      <c r="E152" t="str">
        <f>IF(编写对白!D151&lt;0,1,IF(编写对白!$D151="","",0))</f>
        <v/>
      </c>
      <c r="F152" t="str">
        <f>IF(编写对白!$D151="","",编写对白!$D151)</f>
        <v/>
      </c>
      <c r="G152" t="str">
        <f>IF(编写对白!$G151="","",编写对白!$G151)</f>
        <v/>
      </c>
      <c r="H152" t="str">
        <f t="shared" si="29"/>
        <v/>
      </c>
      <c r="I152" t="str">
        <f t="shared" si="30"/>
        <v/>
      </c>
      <c r="J152" t="str">
        <f t="shared" si="31"/>
        <v/>
      </c>
      <c r="K152" t="str">
        <f t="shared" si="32"/>
        <v/>
      </c>
      <c r="L152" t="str">
        <f t="shared" si="33"/>
        <v/>
      </c>
      <c r="M152" t="str">
        <f t="shared" si="34"/>
        <v/>
      </c>
    </row>
    <row r="153" spans="1:13">
      <c r="A153" t="str">
        <f>IF(编写对白!$A152="","",编写对白!$A152)</f>
        <v/>
      </c>
      <c r="B153" t="str">
        <f>IF(编写对白!$B152="","",编写对白!$B152)</f>
        <v/>
      </c>
      <c r="C153" s="5" t="str">
        <f t="shared" si="28"/>
        <v/>
      </c>
      <c r="D153" t="str">
        <f>IF(编写对白!$F152="","",编写对白!$F152)</f>
        <v/>
      </c>
      <c r="E153" t="str">
        <f>IF(编写对白!D152&lt;0,1,IF(编写对白!$D152="","",0))</f>
        <v/>
      </c>
      <c r="F153" t="str">
        <f>IF(编写对白!$D152="","",编写对白!$D152)</f>
        <v/>
      </c>
      <c r="G153" t="str">
        <f>IF(编写对白!$G152="","",编写对白!$G152)</f>
        <v/>
      </c>
      <c r="H153" t="str">
        <f t="shared" si="29"/>
        <v/>
      </c>
      <c r="I153" t="str">
        <f t="shared" si="30"/>
        <v/>
      </c>
      <c r="J153" t="str">
        <f t="shared" si="31"/>
        <v/>
      </c>
      <c r="K153" t="str">
        <f t="shared" si="32"/>
        <v/>
      </c>
      <c r="L153" t="str">
        <f t="shared" si="33"/>
        <v/>
      </c>
      <c r="M153" t="str">
        <f t="shared" si="34"/>
        <v/>
      </c>
    </row>
    <row r="154" spans="1:13">
      <c r="A154" t="str">
        <f>IF(编写对白!$A153="","",编写对白!$A153)</f>
        <v/>
      </c>
      <c r="B154" t="str">
        <f>IF(编写对白!$B153="","",编写对白!$B153)</f>
        <v/>
      </c>
      <c r="C154" s="5" t="str">
        <f t="shared" si="28"/>
        <v/>
      </c>
      <c r="D154" t="str">
        <f>IF(编写对白!$F153="","",编写对白!$F153)</f>
        <v/>
      </c>
      <c r="E154" t="str">
        <f>IF(编写对白!D153&lt;0,1,IF(编写对白!$D153="","",0))</f>
        <v/>
      </c>
      <c r="F154" t="str">
        <f>IF(编写对白!$D153="","",编写对白!$D153)</f>
        <v/>
      </c>
      <c r="G154" t="str">
        <f>IF(编写对白!$G153="","",编写对白!$G153)</f>
        <v/>
      </c>
      <c r="H154" t="str">
        <f t="shared" si="29"/>
        <v/>
      </c>
      <c r="I154" t="str">
        <f t="shared" si="30"/>
        <v/>
      </c>
      <c r="J154" t="str">
        <f t="shared" si="31"/>
        <v/>
      </c>
      <c r="K154" t="str">
        <f t="shared" si="32"/>
        <v/>
      </c>
      <c r="L154" t="str">
        <f t="shared" si="33"/>
        <v/>
      </c>
      <c r="M154" t="str">
        <f t="shared" si="34"/>
        <v/>
      </c>
    </row>
    <row r="155" spans="1:13">
      <c r="A155" t="str">
        <f>IF(编写对白!$A154="","",编写对白!$A154)</f>
        <v/>
      </c>
      <c r="B155" t="str">
        <f>IF(编写对白!$B154="","",编写对白!$B154)</f>
        <v/>
      </c>
      <c r="C155" s="5" t="str">
        <f t="shared" si="28"/>
        <v/>
      </c>
      <c r="D155" t="str">
        <f>IF(编写对白!$F154="","",编写对白!$F154)</f>
        <v/>
      </c>
      <c r="E155" t="str">
        <f>IF(编写对白!D154&lt;0,1,IF(编写对白!$D154="","",0))</f>
        <v/>
      </c>
      <c r="F155" t="str">
        <f>IF(编写对白!$D154="","",编写对白!$D154)</f>
        <v/>
      </c>
      <c r="G155" t="str">
        <f>IF(编写对白!$G154="","",编写对白!$G154)</f>
        <v/>
      </c>
      <c r="H155" t="str">
        <f t="shared" si="29"/>
        <v/>
      </c>
      <c r="I155" t="str">
        <f t="shared" si="30"/>
        <v/>
      </c>
      <c r="J155" t="str">
        <f t="shared" si="31"/>
        <v/>
      </c>
      <c r="K155" t="str">
        <f t="shared" si="32"/>
        <v/>
      </c>
      <c r="L155" t="str">
        <f t="shared" si="33"/>
        <v/>
      </c>
      <c r="M155" t="str">
        <f t="shared" si="34"/>
        <v/>
      </c>
    </row>
    <row r="156" spans="1:13">
      <c r="A156" t="str">
        <f>IF(编写对白!$A155="","",编写对白!$A155)</f>
        <v/>
      </c>
      <c r="B156" t="str">
        <f>IF(编写对白!$B155="","",编写对白!$B155)</f>
        <v/>
      </c>
      <c r="C156" s="5" t="str">
        <f t="shared" si="28"/>
        <v/>
      </c>
      <c r="D156" t="str">
        <f>IF(编写对白!$F155="","",编写对白!$F155)</f>
        <v/>
      </c>
      <c r="E156" t="str">
        <f>IF(编写对白!D155&lt;0,1,IF(编写对白!$D155="","",0))</f>
        <v/>
      </c>
      <c r="F156" t="str">
        <f>IF(编写对白!$D155="","",编写对白!$D155)</f>
        <v/>
      </c>
      <c r="G156" t="str">
        <f>IF(编写对白!$G155="","",编写对白!$G155)</f>
        <v/>
      </c>
      <c r="H156" t="str">
        <f t="shared" si="29"/>
        <v/>
      </c>
      <c r="I156" t="str">
        <f t="shared" si="30"/>
        <v/>
      </c>
      <c r="J156" t="str">
        <f t="shared" si="31"/>
        <v/>
      </c>
      <c r="K156" t="str">
        <f t="shared" si="32"/>
        <v/>
      </c>
      <c r="L156" t="str">
        <f t="shared" si="33"/>
        <v/>
      </c>
      <c r="M156" t="str">
        <f t="shared" si="34"/>
        <v/>
      </c>
    </row>
    <row r="157" spans="1:13">
      <c r="A157" t="str">
        <f>IF(编写对白!$A156="","",编写对白!$A156)</f>
        <v/>
      </c>
      <c r="B157" t="str">
        <f>IF(编写对白!$B156="","",编写对白!$B156)</f>
        <v/>
      </c>
      <c r="C157" s="5" t="str">
        <f t="shared" si="28"/>
        <v/>
      </c>
      <c r="D157" t="str">
        <f>IF(编写对白!$F156="","",编写对白!$F156)</f>
        <v/>
      </c>
      <c r="E157" t="str">
        <f>IF(编写对白!D156&lt;0,1,IF(编写对白!$D156="","",0))</f>
        <v/>
      </c>
      <c r="F157" t="str">
        <f>IF(编写对白!$D156="","",编写对白!$D156)</f>
        <v/>
      </c>
      <c r="G157" t="str">
        <f>IF(编写对白!$G156="","",编写对白!$G156)</f>
        <v/>
      </c>
      <c r="H157" t="str">
        <f t="shared" si="29"/>
        <v/>
      </c>
      <c r="I157" t="str">
        <f t="shared" si="30"/>
        <v/>
      </c>
      <c r="J157" t="str">
        <f t="shared" si="31"/>
        <v/>
      </c>
      <c r="K157" t="str">
        <f t="shared" si="32"/>
        <v/>
      </c>
      <c r="L157" t="str">
        <f t="shared" si="33"/>
        <v/>
      </c>
      <c r="M157" t="str">
        <f t="shared" si="34"/>
        <v/>
      </c>
    </row>
    <row r="158" spans="1:13">
      <c r="A158" t="str">
        <f>IF(编写对白!$A157="","",编写对白!$A157)</f>
        <v/>
      </c>
      <c r="B158" t="str">
        <f>IF(编写对白!$B157="","",编写对白!$B157)</f>
        <v/>
      </c>
      <c r="C158" s="5" t="str">
        <f t="shared" si="28"/>
        <v/>
      </c>
      <c r="D158" t="str">
        <f>IF(编写对白!$F157="","",编写对白!$F157)</f>
        <v/>
      </c>
      <c r="E158" t="str">
        <f>IF(编写对白!D157&lt;0,1,IF(编写对白!$D157="","",0))</f>
        <v/>
      </c>
      <c r="F158" t="str">
        <f>IF(编写对白!$D157="","",编写对白!$D157)</f>
        <v/>
      </c>
      <c r="G158" t="str">
        <f>IF(编写对白!$G157="","",编写对白!$G157)</f>
        <v/>
      </c>
      <c r="H158" t="str">
        <f t="shared" si="29"/>
        <v/>
      </c>
      <c r="I158" t="str">
        <f t="shared" si="30"/>
        <v/>
      </c>
      <c r="J158" t="str">
        <f t="shared" si="31"/>
        <v/>
      </c>
      <c r="K158" t="str">
        <f t="shared" si="32"/>
        <v/>
      </c>
      <c r="L158" t="str">
        <f t="shared" si="33"/>
        <v/>
      </c>
      <c r="M158" t="str">
        <f t="shared" si="34"/>
        <v/>
      </c>
    </row>
    <row r="159" spans="1:13">
      <c r="A159" t="str">
        <f>IF(编写对白!$A158="","",编写对白!$A158)</f>
        <v/>
      </c>
      <c r="B159" t="str">
        <f>IF(编写对白!$B158="","",编写对白!$B158)</f>
        <v/>
      </c>
      <c r="C159" s="5" t="str">
        <f t="shared" si="28"/>
        <v/>
      </c>
      <c r="D159" t="str">
        <f>IF(编写对白!$F158="","",编写对白!$F158)</f>
        <v/>
      </c>
      <c r="E159" t="str">
        <f>IF(编写对白!D158&lt;0,1,IF(编写对白!$D158="","",0))</f>
        <v/>
      </c>
      <c r="F159" t="str">
        <f>IF(编写对白!$D158="","",编写对白!$D158)</f>
        <v/>
      </c>
      <c r="G159" t="str">
        <f>IF(编写对白!$G158="","",编写对白!$G158)</f>
        <v/>
      </c>
      <c r="H159" t="str">
        <f t="shared" si="29"/>
        <v/>
      </c>
      <c r="I159" t="str">
        <f t="shared" si="30"/>
        <v/>
      </c>
      <c r="J159" t="str">
        <f t="shared" si="31"/>
        <v/>
      </c>
      <c r="K159" t="str">
        <f t="shared" si="32"/>
        <v/>
      </c>
      <c r="L159" t="str">
        <f t="shared" si="33"/>
        <v/>
      </c>
      <c r="M159" t="str">
        <f t="shared" si="34"/>
        <v/>
      </c>
    </row>
    <row r="160" spans="1:13">
      <c r="A160" t="str">
        <f>IF(编写对白!$A159="","",编写对白!$A159)</f>
        <v/>
      </c>
      <c r="B160" t="str">
        <f>IF(编写对白!$B159="","",编写对白!$B159)</f>
        <v/>
      </c>
      <c r="C160" s="5" t="str">
        <f t="shared" si="28"/>
        <v/>
      </c>
      <c r="D160" t="str">
        <f>IF(编写对白!$F159="","",编写对白!$F159)</f>
        <v/>
      </c>
      <c r="E160" t="str">
        <f>IF(编写对白!D159&lt;0,1,IF(编写对白!$D159="","",0))</f>
        <v/>
      </c>
      <c r="F160" t="str">
        <f>IF(编写对白!$D159="","",编写对白!$D159)</f>
        <v/>
      </c>
      <c r="G160" t="str">
        <f>IF(编写对白!$G159="","",编写对白!$G159)</f>
        <v/>
      </c>
      <c r="H160" t="str">
        <f t="shared" si="29"/>
        <v/>
      </c>
      <c r="I160" t="str">
        <f t="shared" si="30"/>
        <v/>
      </c>
      <c r="J160" t="str">
        <f t="shared" si="31"/>
        <v/>
      </c>
      <c r="K160" t="str">
        <f t="shared" si="32"/>
        <v/>
      </c>
      <c r="L160" t="str">
        <f t="shared" si="33"/>
        <v/>
      </c>
      <c r="M160" t="str">
        <f t="shared" si="34"/>
        <v/>
      </c>
    </row>
    <row r="161" spans="1:13">
      <c r="A161" t="str">
        <f>IF(编写对白!$A160="","",编写对白!$A160)</f>
        <v/>
      </c>
      <c r="B161" t="str">
        <f>IF(编写对白!$B160="","",编写对白!$B160)</f>
        <v/>
      </c>
      <c r="C161" s="5" t="str">
        <f t="shared" si="28"/>
        <v/>
      </c>
      <c r="D161" t="str">
        <f>IF(编写对白!$F160="","",编写对白!$F160)</f>
        <v/>
      </c>
      <c r="E161" t="str">
        <f>IF(编写对白!D160&lt;0,1,IF(编写对白!$D160="","",0))</f>
        <v/>
      </c>
      <c r="F161" t="str">
        <f>IF(编写对白!$D160="","",编写对白!$D160)</f>
        <v/>
      </c>
      <c r="G161" t="str">
        <f>IF(编写对白!$G160="","",编写对白!$G160)</f>
        <v/>
      </c>
      <c r="H161" t="str">
        <f t="shared" si="29"/>
        <v/>
      </c>
      <c r="I161" t="str">
        <f t="shared" si="30"/>
        <v/>
      </c>
      <c r="J161" t="str">
        <f t="shared" si="31"/>
        <v/>
      </c>
      <c r="K161" t="str">
        <f t="shared" si="32"/>
        <v/>
      </c>
      <c r="L161" t="str">
        <f t="shared" si="33"/>
        <v/>
      </c>
      <c r="M161" t="str">
        <f t="shared" si="34"/>
        <v/>
      </c>
    </row>
    <row r="162" spans="1:13">
      <c r="A162" t="str">
        <f>IF(编写对白!$A161="","",编写对白!$A161)</f>
        <v/>
      </c>
      <c r="B162" t="str">
        <f>IF(编写对白!$B161="","",编写对白!$B161)</f>
        <v/>
      </c>
      <c r="C162" s="5" t="str">
        <f t="shared" si="28"/>
        <v/>
      </c>
      <c r="D162" t="str">
        <f>IF(编写对白!$F161="","",编写对白!$F161)</f>
        <v/>
      </c>
      <c r="E162" t="str">
        <f>IF(编写对白!D161&lt;0,1,IF(编写对白!$D161="","",0))</f>
        <v/>
      </c>
      <c r="F162" t="str">
        <f>IF(编写对白!$D161="","",编写对白!$D161)</f>
        <v/>
      </c>
      <c r="G162" t="str">
        <f>IF(编写对白!$G161="","",编写对白!$G161)</f>
        <v/>
      </c>
      <c r="H162" t="str">
        <f t="shared" si="29"/>
        <v/>
      </c>
      <c r="I162" t="str">
        <f t="shared" si="30"/>
        <v/>
      </c>
      <c r="J162" t="str">
        <f t="shared" si="31"/>
        <v/>
      </c>
      <c r="K162" t="str">
        <f t="shared" si="32"/>
        <v/>
      </c>
      <c r="L162" t="str">
        <f t="shared" si="33"/>
        <v/>
      </c>
      <c r="M162" t="str">
        <f t="shared" si="34"/>
        <v/>
      </c>
    </row>
    <row r="163" spans="1:13">
      <c r="A163" t="str">
        <f>IF(编写对白!$A162="","",编写对白!$A162)</f>
        <v/>
      </c>
      <c r="B163" t="str">
        <f>IF(编写对白!$B162="","",编写对白!$B162)</f>
        <v/>
      </c>
      <c r="C163" s="5" t="str">
        <f t="shared" si="28"/>
        <v/>
      </c>
      <c r="D163" t="str">
        <f>IF(编写对白!$F162="","",编写对白!$F162)</f>
        <v/>
      </c>
      <c r="E163" t="str">
        <f>IF(编写对白!D162&lt;0,1,IF(编写对白!$D162="","",0))</f>
        <v/>
      </c>
      <c r="F163" t="str">
        <f>IF(编写对白!$D162="","",编写对白!$D162)</f>
        <v/>
      </c>
      <c r="G163" t="str">
        <f>IF(编写对白!$G162="","",编写对白!$G162)</f>
        <v/>
      </c>
      <c r="H163" t="str">
        <f t="shared" si="29"/>
        <v/>
      </c>
      <c r="I163" t="str">
        <f t="shared" si="30"/>
        <v/>
      </c>
      <c r="J163" t="str">
        <f t="shared" si="31"/>
        <v/>
      </c>
      <c r="K163" t="str">
        <f t="shared" si="32"/>
        <v/>
      </c>
      <c r="L163" t="str">
        <f t="shared" si="33"/>
        <v/>
      </c>
      <c r="M163" t="str">
        <f t="shared" si="34"/>
        <v/>
      </c>
    </row>
    <row r="164" spans="1:13">
      <c r="A164" t="str">
        <f>IF(编写对白!$A163="","",编写对白!$A163)</f>
        <v/>
      </c>
      <c r="B164" t="str">
        <f>IF(编写对白!$B163="","",编写对白!$B163)</f>
        <v/>
      </c>
      <c r="C164" s="5" t="str">
        <f t="shared" si="28"/>
        <v/>
      </c>
      <c r="D164" t="str">
        <f>IF(编写对白!$F163="","",编写对白!$F163)</f>
        <v/>
      </c>
      <c r="E164" t="str">
        <f>IF(编写对白!D163&lt;0,1,IF(编写对白!$D163="","",0))</f>
        <v/>
      </c>
      <c r="F164" t="str">
        <f>IF(编写对白!$D163="","",编写对白!$D163)</f>
        <v/>
      </c>
      <c r="G164" t="str">
        <f>IF(编写对白!$G163="","",编写对白!$G163)</f>
        <v/>
      </c>
      <c r="H164" t="str">
        <f t="shared" si="29"/>
        <v/>
      </c>
      <c r="I164" t="str">
        <f t="shared" si="30"/>
        <v/>
      </c>
      <c r="J164" t="str">
        <f t="shared" si="31"/>
        <v/>
      </c>
      <c r="K164" t="str">
        <f t="shared" si="32"/>
        <v/>
      </c>
      <c r="L164" t="str">
        <f t="shared" si="33"/>
        <v/>
      </c>
      <c r="M164" t="str">
        <f t="shared" si="34"/>
        <v/>
      </c>
    </row>
    <row r="165" spans="1:13">
      <c r="A165" t="str">
        <f>IF(编写对白!$A164="","",编写对白!$A164)</f>
        <v/>
      </c>
      <c r="B165" t="str">
        <f>IF(编写对白!$B164="","",编写对白!$B164)</f>
        <v/>
      </c>
      <c r="C165" s="5" t="str">
        <f t="shared" ref="C165:C200" si="35">IF($A165="","",$A165/10)</f>
        <v/>
      </c>
      <c r="D165" t="str">
        <f>IF(编写对白!$F164="","",编写对白!$F164)</f>
        <v/>
      </c>
      <c r="E165" t="str">
        <f>IF(编写对白!D164&lt;0,1,IF(编写对白!$D164="","",0))</f>
        <v/>
      </c>
      <c r="F165" t="str">
        <f>IF(编写对白!$D164="","",编写对白!$D164)</f>
        <v/>
      </c>
      <c r="G165" t="str">
        <f>IF(编写对白!$G164="","",编写对白!$G164)</f>
        <v/>
      </c>
      <c r="H165" t="str">
        <f t="shared" ref="H165:H200" si="36">IF($A165="","",1)</f>
        <v/>
      </c>
      <c r="I165" t="str">
        <f t="shared" ref="I165:I200" si="37">IF($G165="","",ROUNDUP(LEN($G165)/3+1,0))</f>
        <v/>
      </c>
      <c r="J165" t="str">
        <f t="shared" ref="J165:J200" si="38">IF($A165="","",1)</f>
        <v/>
      </c>
      <c r="K165" t="str">
        <f t="shared" ref="K165:K200" si="39">IF($A165="","",-1)</f>
        <v/>
      </c>
      <c r="L165" t="str">
        <f t="shared" ref="L165:L200" si="40">IF($A165="","",-1)</f>
        <v/>
      </c>
      <c r="M165" t="str">
        <f t="shared" ref="M165:M200" si="41">IF($A165="","",-1)</f>
        <v/>
      </c>
    </row>
    <row r="166" spans="1:13">
      <c r="A166" t="str">
        <f>IF(编写对白!$A165="","",编写对白!$A165)</f>
        <v/>
      </c>
      <c r="B166" t="str">
        <f>IF(编写对白!$B165="","",编写对白!$B165)</f>
        <v/>
      </c>
      <c r="C166" s="5" t="str">
        <f t="shared" si="35"/>
        <v/>
      </c>
      <c r="D166" t="str">
        <f>IF(编写对白!$F165="","",编写对白!$F165)</f>
        <v/>
      </c>
      <c r="E166" t="str">
        <f>IF(编写对白!D165&lt;0,1,IF(编写对白!$D165="","",0))</f>
        <v/>
      </c>
      <c r="F166" t="str">
        <f>IF(编写对白!$D165="","",编写对白!$D165)</f>
        <v/>
      </c>
      <c r="G166" t="str">
        <f>IF(编写对白!$G165="","",编写对白!$G165)</f>
        <v/>
      </c>
      <c r="H166" t="str">
        <f t="shared" si="36"/>
        <v/>
      </c>
      <c r="I166" t="str">
        <f t="shared" si="37"/>
        <v/>
      </c>
      <c r="J166" t="str">
        <f t="shared" si="38"/>
        <v/>
      </c>
      <c r="K166" t="str">
        <f t="shared" si="39"/>
        <v/>
      </c>
      <c r="L166" t="str">
        <f t="shared" si="40"/>
        <v/>
      </c>
      <c r="M166" t="str">
        <f t="shared" si="41"/>
        <v/>
      </c>
    </row>
    <row r="167" spans="1:13">
      <c r="A167" t="str">
        <f>IF(编写对白!$A166="","",编写对白!$A166)</f>
        <v/>
      </c>
      <c r="B167" t="str">
        <f>IF(编写对白!$B166="","",编写对白!$B166)</f>
        <v/>
      </c>
      <c r="C167" s="5" t="str">
        <f t="shared" si="35"/>
        <v/>
      </c>
      <c r="D167" t="str">
        <f>IF(编写对白!$F166="","",编写对白!$F166)</f>
        <v/>
      </c>
      <c r="E167" t="str">
        <f>IF(编写对白!D166&lt;0,1,IF(编写对白!$D166="","",0))</f>
        <v/>
      </c>
      <c r="F167" t="str">
        <f>IF(编写对白!$D166="","",编写对白!$D166)</f>
        <v/>
      </c>
      <c r="G167" t="str">
        <f>IF(编写对白!$G166="","",编写对白!$G166)</f>
        <v/>
      </c>
      <c r="H167" t="str">
        <f t="shared" si="36"/>
        <v/>
      </c>
      <c r="I167" t="str">
        <f t="shared" si="37"/>
        <v/>
      </c>
      <c r="J167" t="str">
        <f t="shared" si="38"/>
        <v/>
      </c>
      <c r="K167" t="str">
        <f t="shared" si="39"/>
        <v/>
      </c>
      <c r="L167" t="str">
        <f t="shared" si="40"/>
        <v/>
      </c>
      <c r="M167" t="str">
        <f t="shared" si="41"/>
        <v/>
      </c>
    </row>
    <row r="168" spans="1:13">
      <c r="A168" t="str">
        <f>IF(编写对白!$A167="","",编写对白!$A167)</f>
        <v/>
      </c>
      <c r="B168" t="str">
        <f>IF(编写对白!$B167="","",编写对白!$B167)</f>
        <v/>
      </c>
      <c r="C168" s="5" t="str">
        <f t="shared" si="35"/>
        <v/>
      </c>
      <c r="D168" t="str">
        <f>IF(编写对白!$F167="","",编写对白!$F167)</f>
        <v/>
      </c>
      <c r="E168" t="str">
        <f>IF(编写对白!D167&lt;0,1,IF(编写对白!$D167="","",0))</f>
        <v/>
      </c>
      <c r="F168" t="str">
        <f>IF(编写对白!$D167="","",编写对白!$D167)</f>
        <v/>
      </c>
      <c r="G168" t="str">
        <f>IF(编写对白!$G167="","",编写对白!$G167)</f>
        <v/>
      </c>
      <c r="H168" t="str">
        <f t="shared" si="36"/>
        <v/>
      </c>
      <c r="I168" t="str">
        <f t="shared" si="37"/>
        <v/>
      </c>
      <c r="J168" t="str">
        <f t="shared" si="38"/>
        <v/>
      </c>
      <c r="K168" t="str">
        <f t="shared" si="39"/>
        <v/>
      </c>
      <c r="L168" t="str">
        <f t="shared" si="40"/>
        <v/>
      </c>
      <c r="M168" t="str">
        <f t="shared" si="41"/>
        <v/>
      </c>
    </row>
    <row r="169" spans="1:13">
      <c r="A169" t="str">
        <f>IF(编写对白!$A168="","",编写对白!$A168)</f>
        <v/>
      </c>
      <c r="B169" t="str">
        <f>IF(编写对白!$B168="","",编写对白!$B168)</f>
        <v/>
      </c>
      <c r="C169" s="5" t="str">
        <f t="shared" si="35"/>
        <v/>
      </c>
      <c r="D169" t="str">
        <f>IF(编写对白!$F168="","",编写对白!$F168)</f>
        <v/>
      </c>
      <c r="E169" t="str">
        <f>IF(编写对白!D168&lt;0,1,IF(编写对白!$D168="","",0))</f>
        <v/>
      </c>
      <c r="F169" t="str">
        <f>IF(编写对白!$D168="","",编写对白!$D168)</f>
        <v/>
      </c>
      <c r="G169" t="str">
        <f>IF(编写对白!$G168="","",编写对白!$G168)</f>
        <v/>
      </c>
      <c r="H169" t="str">
        <f t="shared" si="36"/>
        <v/>
      </c>
      <c r="I169" t="str">
        <f t="shared" si="37"/>
        <v/>
      </c>
      <c r="J169" t="str">
        <f t="shared" si="38"/>
        <v/>
      </c>
      <c r="K169" t="str">
        <f t="shared" si="39"/>
        <v/>
      </c>
      <c r="L169" t="str">
        <f t="shared" si="40"/>
        <v/>
      </c>
      <c r="M169" t="str">
        <f t="shared" si="41"/>
        <v/>
      </c>
    </row>
    <row r="170" spans="1:13">
      <c r="A170" t="str">
        <f>IF(编写对白!$A169="","",编写对白!$A169)</f>
        <v/>
      </c>
      <c r="B170" t="str">
        <f>IF(编写对白!$B169="","",编写对白!$B169)</f>
        <v/>
      </c>
      <c r="C170" s="5" t="str">
        <f t="shared" si="35"/>
        <v/>
      </c>
      <c r="D170" t="str">
        <f>IF(编写对白!$F169="","",编写对白!$F169)</f>
        <v/>
      </c>
      <c r="E170" t="str">
        <f>IF(编写对白!D169&lt;0,1,IF(编写对白!$D169="","",0))</f>
        <v/>
      </c>
      <c r="F170" t="str">
        <f>IF(编写对白!$D169="","",编写对白!$D169)</f>
        <v/>
      </c>
      <c r="G170" t="str">
        <f>IF(编写对白!$G169="","",编写对白!$G169)</f>
        <v/>
      </c>
      <c r="H170" t="str">
        <f t="shared" si="36"/>
        <v/>
      </c>
      <c r="I170" t="str">
        <f t="shared" si="37"/>
        <v/>
      </c>
      <c r="J170" t="str">
        <f t="shared" si="38"/>
        <v/>
      </c>
      <c r="K170" t="str">
        <f t="shared" si="39"/>
        <v/>
      </c>
      <c r="L170" t="str">
        <f t="shared" si="40"/>
        <v/>
      </c>
      <c r="M170" t="str">
        <f t="shared" si="41"/>
        <v/>
      </c>
    </row>
    <row r="171" spans="1:13">
      <c r="A171" t="str">
        <f>IF(编写对白!$A170="","",编写对白!$A170)</f>
        <v/>
      </c>
      <c r="B171" t="str">
        <f>IF(编写对白!$B170="","",编写对白!$B170)</f>
        <v/>
      </c>
      <c r="C171" s="5" t="str">
        <f t="shared" si="35"/>
        <v/>
      </c>
      <c r="D171" t="str">
        <f>IF(编写对白!$F170="","",编写对白!$F170)</f>
        <v/>
      </c>
      <c r="E171" t="str">
        <f>IF(编写对白!D170&lt;0,1,IF(编写对白!$D170="","",0))</f>
        <v/>
      </c>
      <c r="F171" t="str">
        <f>IF(编写对白!$D170="","",编写对白!$D170)</f>
        <v/>
      </c>
      <c r="G171" t="str">
        <f>IF(编写对白!$G170="","",编写对白!$G170)</f>
        <v/>
      </c>
      <c r="H171" t="str">
        <f t="shared" si="36"/>
        <v/>
      </c>
      <c r="I171" t="str">
        <f t="shared" si="37"/>
        <v/>
      </c>
      <c r="J171" t="str">
        <f t="shared" si="38"/>
        <v/>
      </c>
      <c r="K171" t="str">
        <f t="shared" si="39"/>
        <v/>
      </c>
      <c r="L171" t="str">
        <f t="shared" si="40"/>
        <v/>
      </c>
      <c r="M171" t="str">
        <f t="shared" si="41"/>
        <v/>
      </c>
    </row>
    <row r="172" spans="1:13">
      <c r="A172" t="str">
        <f>IF(编写对白!$A171="","",编写对白!$A171)</f>
        <v/>
      </c>
      <c r="B172" t="str">
        <f>IF(编写对白!$B171="","",编写对白!$B171)</f>
        <v/>
      </c>
      <c r="C172" s="5" t="str">
        <f t="shared" si="35"/>
        <v/>
      </c>
      <c r="D172" t="str">
        <f>IF(编写对白!$F171="","",编写对白!$F171)</f>
        <v/>
      </c>
      <c r="E172" t="str">
        <f>IF(编写对白!D171&lt;0,1,IF(编写对白!$D171="","",0))</f>
        <v/>
      </c>
      <c r="F172" t="str">
        <f>IF(编写对白!$D171="","",编写对白!$D171)</f>
        <v/>
      </c>
      <c r="G172" t="str">
        <f>IF(编写对白!$G171="","",编写对白!$G171)</f>
        <v/>
      </c>
      <c r="H172" t="str">
        <f t="shared" si="36"/>
        <v/>
      </c>
      <c r="I172" t="str">
        <f t="shared" si="37"/>
        <v/>
      </c>
      <c r="J172" t="str">
        <f t="shared" si="38"/>
        <v/>
      </c>
      <c r="K172" t="str">
        <f t="shared" si="39"/>
        <v/>
      </c>
      <c r="L172" t="str">
        <f t="shared" si="40"/>
        <v/>
      </c>
      <c r="M172" t="str">
        <f t="shared" si="41"/>
        <v/>
      </c>
    </row>
    <row r="173" spans="1:13">
      <c r="A173" t="str">
        <f>IF(编写对白!$A172="","",编写对白!$A172)</f>
        <v/>
      </c>
      <c r="B173" t="str">
        <f>IF(编写对白!$B172="","",编写对白!$B172)</f>
        <v/>
      </c>
      <c r="C173" s="5" t="str">
        <f t="shared" si="35"/>
        <v/>
      </c>
      <c r="D173" t="str">
        <f>IF(编写对白!$F172="","",编写对白!$F172)</f>
        <v/>
      </c>
      <c r="E173" t="str">
        <f>IF(编写对白!D172&lt;0,1,IF(编写对白!$D172="","",0))</f>
        <v/>
      </c>
      <c r="F173" t="str">
        <f>IF(编写对白!$D172="","",编写对白!$D172)</f>
        <v/>
      </c>
      <c r="G173" t="str">
        <f>IF(编写对白!$G172="","",编写对白!$G172)</f>
        <v/>
      </c>
      <c r="H173" t="str">
        <f t="shared" si="36"/>
        <v/>
      </c>
      <c r="I173" t="str">
        <f t="shared" si="37"/>
        <v/>
      </c>
      <c r="J173" t="str">
        <f t="shared" si="38"/>
        <v/>
      </c>
      <c r="K173" t="str">
        <f t="shared" si="39"/>
        <v/>
      </c>
      <c r="L173" t="str">
        <f t="shared" si="40"/>
        <v/>
      </c>
      <c r="M173" t="str">
        <f t="shared" si="41"/>
        <v/>
      </c>
    </row>
    <row r="174" spans="1:13">
      <c r="A174" t="str">
        <f>IF(编写对白!$A173="","",编写对白!$A173)</f>
        <v/>
      </c>
      <c r="B174" t="str">
        <f>IF(编写对白!$B173="","",编写对白!$B173)</f>
        <v/>
      </c>
      <c r="C174" s="5" t="str">
        <f t="shared" si="35"/>
        <v/>
      </c>
      <c r="D174" t="str">
        <f>IF(编写对白!$F173="","",编写对白!$F173)</f>
        <v/>
      </c>
      <c r="E174" t="str">
        <f>IF(编写对白!D173&lt;0,1,IF(编写对白!$D173="","",0))</f>
        <v/>
      </c>
      <c r="F174" t="str">
        <f>IF(编写对白!$D173="","",编写对白!$D173)</f>
        <v/>
      </c>
      <c r="G174" t="str">
        <f>IF(编写对白!$G173="","",编写对白!$G173)</f>
        <v/>
      </c>
      <c r="H174" t="str">
        <f t="shared" si="36"/>
        <v/>
      </c>
      <c r="I174" t="str">
        <f t="shared" si="37"/>
        <v/>
      </c>
      <c r="J174" t="str">
        <f t="shared" si="38"/>
        <v/>
      </c>
      <c r="K174" t="str">
        <f t="shared" si="39"/>
        <v/>
      </c>
      <c r="L174" t="str">
        <f t="shared" si="40"/>
        <v/>
      </c>
      <c r="M174" t="str">
        <f t="shared" si="41"/>
        <v/>
      </c>
    </row>
    <row r="175" spans="1:13">
      <c r="A175" t="str">
        <f>IF(编写对白!$A174="","",编写对白!$A174)</f>
        <v/>
      </c>
      <c r="B175" t="str">
        <f>IF(编写对白!$B174="","",编写对白!$B174)</f>
        <v/>
      </c>
      <c r="C175" s="5" t="str">
        <f t="shared" si="35"/>
        <v/>
      </c>
      <c r="D175" t="str">
        <f>IF(编写对白!$F174="","",编写对白!$F174)</f>
        <v/>
      </c>
      <c r="E175" t="str">
        <f>IF(编写对白!D174&lt;0,1,IF(编写对白!$D174="","",0))</f>
        <v/>
      </c>
      <c r="F175" t="str">
        <f>IF(编写对白!$D174="","",编写对白!$D174)</f>
        <v/>
      </c>
      <c r="G175" t="str">
        <f>IF(编写对白!$G174="","",编写对白!$G174)</f>
        <v/>
      </c>
      <c r="H175" t="str">
        <f t="shared" si="36"/>
        <v/>
      </c>
      <c r="I175" t="str">
        <f t="shared" si="37"/>
        <v/>
      </c>
      <c r="J175" t="str">
        <f t="shared" si="38"/>
        <v/>
      </c>
      <c r="K175" t="str">
        <f t="shared" si="39"/>
        <v/>
      </c>
      <c r="L175" t="str">
        <f t="shared" si="40"/>
        <v/>
      </c>
      <c r="M175" t="str">
        <f t="shared" si="41"/>
        <v/>
      </c>
    </row>
    <row r="176" spans="1:13">
      <c r="A176" t="str">
        <f>IF(编写对白!$A175="","",编写对白!$A175)</f>
        <v/>
      </c>
      <c r="B176" t="str">
        <f>IF(编写对白!$B175="","",编写对白!$B175)</f>
        <v/>
      </c>
      <c r="C176" s="5" t="str">
        <f t="shared" si="35"/>
        <v/>
      </c>
      <c r="D176" t="str">
        <f>IF(编写对白!$F175="","",编写对白!$F175)</f>
        <v/>
      </c>
      <c r="E176" t="str">
        <f>IF(编写对白!D175&lt;0,1,IF(编写对白!$D175="","",0))</f>
        <v/>
      </c>
      <c r="F176" t="str">
        <f>IF(编写对白!$D175="","",编写对白!$D175)</f>
        <v/>
      </c>
      <c r="G176" t="str">
        <f>IF(编写对白!$G175="","",编写对白!$G175)</f>
        <v/>
      </c>
      <c r="H176" t="str">
        <f t="shared" si="36"/>
        <v/>
      </c>
      <c r="I176" t="str">
        <f t="shared" si="37"/>
        <v/>
      </c>
      <c r="J176" t="str">
        <f t="shared" si="38"/>
        <v/>
      </c>
      <c r="K176" t="str">
        <f t="shared" si="39"/>
        <v/>
      </c>
      <c r="L176" t="str">
        <f t="shared" si="40"/>
        <v/>
      </c>
      <c r="M176" t="str">
        <f t="shared" si="41"/>
        <v/>
      </c>
    </row>
    <row r="177" spans="1:13">
      <c r="A177" t="str">
        <f>IF(编写对白!$A176="","",编写对白!$A176)</f>
        <v/>
      </c>
      <c r="B177" t="str">
        <f>IF(编写对白!$B176="","",编写对白!$B176)</f>
        <v/>
      </c>
      <c r="C177" s="5" t="str">
        <f t="shared" si="35"/>
        <v/>
      </c>
      <c r="D177" t="str">
        <f>IF(编写对白!$F176="","",编写对白!$F176)</f>
        <v/>
      </c>
      <c r="E177" t="str">
        <f>IF(编写对白!D176&lt;0,1,IF(编写对白!$D176="","",0))</f>
        <v/>
      </c>
      <c r="F177" t="str">
        <f>IF(编写对白!$D176="","",编写对白!$D176)</f>
        <v/>
      </c>
      <c r="G177" t="str">
        <f>IF(编写对白!$G176="","",编写对白!$G176)</f>
        <v/>
      </c>
      <c r="H177" t="str">
        <f t="shared" si="36"/>
        <v/>
      </c>
      <c r="I177" t="str">
        <f t="shared" si="37"/>
        <v/>
      </c>
      <c r="J177" t="str">
        <f t="shared" si="38"/>
        <v/>
      </c>
      <c r="K177" t="str">
        <f t="shared" si="39"/>
        <v/>
      </c>
      <c r="L177" t="str">
        <f t="shared" si="40"/>
        <v/>
      </c>
      <c r="M177" t="str">
        <f t="shared" si="41"/>
        <v/>
      </c>
    </row>
    <row r="178" spans="1:13">
      <c r="A178" t="str">
        <f>IF(编写对白!$A177="","",编写对白!$A177)</f>
        <v/>
      </c>
      <c r="B178" t="str">
        <f>IF(编写对白!$B177="","",编写对白!$B177)</f>
        <v/>
      </c>
      <c r="C178" s="5" t="str">
        <f t="shared" si="35"/>
        <v/>
      </c>
      <c r="D178" t="str">
        <f>IF(编写对白!$F177="","",编写对白!$F177)</f>
        <v/>
      </c>
      <c r="E178" t="str">
        <f>IF(编写对白!D177&lt;0,1,IF(编写对白!$D177="","",0))</f>
        <v/>
      </c>
      <c r="F178" t="str">
        <f>IF(编写对白!$D177="","",编写对白!$D177)</f>
        <v/>
      </c>
      <c r="G178" t="str">
        <f>IF(编写对白!$G177="","",编写对白!$G177)</f>
        <v/>
      </c>
      <c r="H178" t="str">
        <f t="shared" si="36"/>
        <v/>
      </c>
      <c r="I178" t="str">
        <f t="shared" si="37"/>
        <v/>
      </c>
      <c r="J178" t="str">
        <f t="shared" si="38"/>
        <v/>
      </c>
      <c r="K178" t="str">
        <f t="shared" si="39"/>
        <v/>
      </c>
      <c r="L178" t="str">
        <f t="shared" si="40"/>
        <v/>
      </c>
      <c r="M178" t="str">
        <f t="shared" si="41"/>
        <v/>
      </c>
    </row>
    <row r="179" spans="1:13">
      <c r="A179" t="str">
        <f>IF(编写对白!$A178="","",编写对白!$A178)</f>
        <v/>
      </c>
      <c r="B179" t="str">
        <f>IF(编写对白!$B178="","",编写对白!$B178)</f>
        <v/>
      </c>
      <c r="C179" s="5" t="str">
        <f t="shared" si="35"/>
        <v/>
      </c>
      <c r="D179" t="str">
        <f>IF(编写对白!$F178="","",编写对白!$F178)</f>
        <v/>
      </c>
      <c r="E179" t="str">
        <f>IF(编写对白!D178&lt;0,1,IF(编写对白!$D178="","",0))</f>
        <v/>
      </c>
      <c r="F179" t="str">
        <f>IF(编写对白!$D178="","",编写对白!$D178)</f>
        <v/>
      </c>
      <c r="G179" t="str">
        <f>IF(编写对白!$G178="","",编写对白!$G178)</f>
        <v/>
      </c>
      <c r="H179" t="str">
        <f t="shared" si="36"/>
        <v/>
      </c>
      <c r="I179" t="str">
        <f t="shared" si="37"/>
        <v/>
      </c>
      <c r="J179" t="str">
        <f t="shared" si="38"/>
        <v/>
      </c>
      <c r="K179" t="str">
        <f t="shared" si="39"/>
        <v/>
      </c>
      <c r="L179" t="str">
        <f t="shared" si="40"/>
        <v/>
      </c>
      <c r="M179" t="str">
        <f t="shared" si="41"/>
        <v/>
      </c>
    </row>
    <row r="180" spans="1:13">
      <c r="A180" t="str">
        <f>IF(编写对白!$A179="","",编写对白!$A179)</f>
        <v/>
      </c>
      <c r="B180" t="str">
        <f>IF(编写对白!$B179="","",编写对白!$B179)</f>
        <v/>
      </c>
      <c r="C180" s="5" t="str">
        <f t="shared" si="35"/>
        <v/>
      </c>
      <c r="D180" t="str">
        <f>IF(编写对白!$F179="","",编写对白!$F179)</f>
        <v/>
      </c>
      <c r="E180" t="str">
        <f>IF(编写对白!D179&lt;0,1,IF(编写对白!$D179="","",0))</f>
        <v/>
      </c>
      <c r="F180" t="str">
        <f>IF(编写对白!$D179="","",编写对白!$D179)</f>
        <v/>
      </c>
      <c r="G180" t="str">
        <f>IF(编写对白!$G179="","",编写对白!$G179)</f>
        <v/>
      </c>
      <c r="H180" t="str">
        <f t="shared" si="36"/>
        <v/>
      </c>
      <c r="I180" t="str">
        <f t="shared" si="37"/>
        <v/>
      </c>
      <c r="J180" t="str">
        <f t="shared" si="38"/>
        <v/>
      </c>
      <c r="K180" t="str">
        <f t="shared" si="39"/>
        <v/>
      </c>
      <c r="L180" t="str">
        <f t="shared" si="40"/>
        <v/>
      </c>
      <c r="M180" t="str">
        <f t="shared" si="41"/>
        <v/>
      </c>
    </row>
    <row r="181" spans="1:13">
      <c r="A181" t="str">
        <f>IF(编写对白!$A180="","",编写对白!$A180)</f>
        <v/>
      </c>
      <c r="B181" t="str">
        <f>IF(编写对白!$B180="","",编写对白!$B180)</f>
        <v/>
      </c>
      <c r="C181" s="5" t="str">
        <f t="shared" si="35"/>
        <v/>
      </c>
      <c r="D181" t="str">
        <f>IF(编写对白!$F180="","",编写对白!$F180)</f>
        <v/>
      </c>
      <c r="E181" t="str">
        <f>IF(编写对白!D180&lt;0,1,IF(编写对白!$D180="","",0))</f>
        <v/>
      </c>
      <c r="F181" t="str">
        <f>IF(编写对白!$D180="","",编写对白!$D180)</f>
        <v/>
      </c>
      <c r="G181" t="str">
        <f>IF(编写对白!$G180="","",编写对白!$G180)</f>
        <v/>
      </c>
      <c r="H181" t="str">
        <f t="shared" si="36"/>
        <v/>
      </c>
      <c r="I181" t="str">
        <f t="shared" si="37"/>
        <v/>
      </c>
      <c r="J181" t="str">
        <f t="shared" si="38"/>
        <v/>
      </c>
      <c r="K181" t="str">
        <f t="shared" si="39"/>
        <v/>
      </c>
      <c r="L181" t="str">
        <f t="shared" si="40"/>
        <v/>
      </c>
      <c r="M181" t="str">
        <f t="shared" si="41"/>
        <v/>
      </c>
    </row>
    <row r="182" spans="1:13">
      <c r="A182" t="str">
        <f>IF(编写对白!$A181="","",编写对白!$A181)</f>
        <v/>
      </c>
      <c r="B182" t="str">
        <f>IF(编写对白!$B181="","",编写对白!$B181)</f>
        <v/>
      </c>
      <c r="C182" s="5" t="str">
        <f t="shared" si="35"/>
        <v/>
      </c>
      <c r="D182" t="str">
        <f>IF(编写对白!$F181="","",编写对白!$F181)</f>
        <v/>
      </c>
      <c r="E182" t="str">
        <f>IF(编写对白!D181&lt;0,1,IF(编写对白!$D181="","",0))</f>
        <v/>
      </c>
      <c r="F182" t="str">
        <f>IF(编写对白!$D181="","",编写对白!$D181)</f>
        <v/>
      </c>
      <c r="G182" t="str">
        <f>IF(编写对白!$G181="","",编写对白!$G181)</f>
        <v/>
      </c>
      <c r="H182" t="str">
        <f t="shared" si="36"/>
        <v/>
      </c>
      <c r="I182" t="str">
        <f t="shared" si="37"/>
        <v/>
      </c>
      <c r="J182" t="str">
        <f t="shared" si="38"/>
        <v/>
      </c>
      <c r="K182" t="str">
        <f t="shared" si="39"/>
        <v/>
      </c>
      <c r="L182" t="str">
        <f t="shared" si="40"/>
        <v/>
      </c>
      <c r="M182" t="str">
        <f t="shared" si="41"/>
        <v/>
      </c>
    </row>
    <row r="183" spans="1:13">
      <c r="A183" t="str">
        <f>IF(编写对白!$A182="","",编写对白!$A182)</f>
        <v/>
      </c>
      <c r="B183" t="str">
        <f>IF(编写对白!$B182="","",编写对白!$B182)</f>
        <v/>
      </c>
      <c r="C183" s="5" t="str">
        <f t="shared" si="35"/>
        <v/>
      </c>
      <c r="D183" t="str">
        <f>IF(编写对白!$F182="","",编写对白!$F182)</f>
        <v/>
      </c>
      <c r="E183" t="str">
        <f>IF(编写对白!D182&lt;0,1,IF(编写对白!$D182="","",0))</f>
        <v/>
      </c>
      <c r="F183" t="str">
        <f>IF(编写对白!$D182="","",编写对白!$D182)</f>
        <v/>
      </c>
      <c r="G183" t="str">
        <f>IF(编写对白!$G182="","",编写对白!$G182)</f>
        <v/>
      </c>
      <c r="H183" t="str">
        <f t="shared" si="36"/>
        <v/>
      </c>
      <c r="I183" t="str">
        <f t="shared" si="37"/>
        <v/>
      </c>
      <c r="J183" t="str">
        <f t="shared" si="38"/>
        <v/>
      </c>
      <c r="K183" t="str">
        <f t="shared" si="39"/>
        <v/>
      </c>
      <c r="L183" t="str">
        <f t="shared" si="40"/>
        <v/>
      </c>
      <c r="M183" t="str">
        <f t="shared" si="41"/>
        <v/>
      </c>
    </row>
    <row r="184" spans="1:13">
      <c r="A184" t="str">
        <f>IF(编写对白!$A183="","",编写对白!$A183)</f>
        <v/>
      </c>
      <c r="B184" t="str">
        <f>IF(编写对白!$B183="","",编写对白!$B183)</f>
        <v/>
      </c>
      <c r="C184" s="5" t="str">
        <f t="shared" si="35"/>
        <v/>
      </c>
      <c r="D184" t="str">
        <f>IF(编写对白!$F183="","",编写对白!$F183)</f>
        <v/>
      </c>
      <c r="E184" t="str">
        <f>IF(编写对白!D183&lt;0,1,IF(编写对白!$D183="","",0))</f>
        <v/>
      </c>
      <c r="F184" t="str">
        <f>IF(编写对白!$D183="","",编写对白!$D183)</f>
        <v/>
      </c>
      <c r="G184" t="str">
        <f>IF(编写对白!$G183="","",编写对白!$G183)</f>
        <v/>
      </c>
      <c r="H184" t="str">
        <f t="shared" si="36"/>
        <v/>
      </c>
      <c r="I184" t="str">
        <f t="shared" si="37"/>
        <v/>
      </c>
      <c r="J184" t="str">
        <f t="shared" si="38"/>
        <v/>
      </c>
      <c r="K184" t="str">
        <f t="shared" si="39"/>
        <v/>
      </c>
      <c r="L184" t="str">
        <f t="shared" si="40"/>
        <v/>
      </c>
      <c r="M184" t="str">
        <f t="shared" si="41"/>
        <v/>
      </c>
    </row>
    <row r="185" spans="1:13">
      <c r="A185" t="str">
        <f>IF(编写对白!$A184="","",编写对白!$A184)</f>
        <v/>
      </c>
      <c r="B185" t="str">
        <f>IF(编写对白!$B184="","",编写对白!$B184)</f>
        <v/>
      </c>
      <c r="C185" s="5" t="str">
        <f t="shared" si="35"/>
        <v/>
      </c>
      <c r="D185" t="str">
        <f>IF(编写对白!$F184="","",编写对白!$F184)</f>
        <v/>
      </c>
      <c r="E185" t="str">
        <f>IF(编写对白!D184&lt;0,1,IF(编写对白!$D184="","",0))</f>
        <v/>
      </c>
      <c r="F185" t="str">
        <f>IF(编写对白!$D184="","",编写对白!$D184)</f>
        <v/>
      </c>
      <c r="G185" t="str">
        <f>IF(编写对白!$G184="","",编写对白!$G184)</f>
        <v/>
      </c>
      <c r="H185" t="str">
        <f t="shared" si="36"/>
        <v/>
      </c>
      <c r="I185" t="str">
        <f t="shared" si="37"/>
        <v/>
      </c>
      <c r="J185" t="str">
        <f t="shared" si="38"/>
        <v/>
      </c>
      <c r="K185" t="str">
        <f t="shared" si="39"/>
        <v/>
      </c>
      <c r="L185" t="str">
        <f t="shared" si="40"/>
        <v/>
      </c>
      <c r="M185" t="str">
        <f t="shared" si="41"/>
        <v/>
      </c>
    </row>
    <row r="186" spans="1:13">
      <c r="A186" t="str">
        <f>IF(编写对白!$A185="","",编写对白!$A185)</f>
        <v/>
      </c>
      <c r="B186" t="str">
        <f>IF(编写对白!$B185="","",编写对白!$B185)</f>
        <v/>
      </c>
      <c r="C186" s="5" t="str">
        <f t="shared" si="35"/>
        <v/>
      </c>
      <c r="D186" t="str">
        <f>IF(编写对白!$F185="","",编写对白!$F185)</f>
        <v/>
      </c>
      <c r="E186" t="str">
        <f>IF(编写对白!D185&lt;0,1,IF(编写对白!$D185="","",0))</f>
        <v/>
      </c>
      <c r="F186" t="str">
        <f>IF(编写对白!$D185="","",编写对白!$D185)</f>
        <v/>
      </c>
      <c r="G186" t="str">
        <f>IF(编写对白!$G185="","",编写对白!$G185)</f>
        <v/>
      </c>
      <c r="H186" t="str">
        <f t="shared" si="36"/>
        <v/>
      </c>
      <c r="I186" t="str">
        <f t="shared" si="37"/>
        <v/>
      </c>
      <c r="J186" t="str">
        <f t="shared" si="38"/>
        <v/>
      </c>
      <c r="K186" t="str">
        <f t="shared" si="39"/>
        <v/>
      </c>
      <c r="L186" t="str">
        <f t="shared" si="40"/>
        <v/>
      </c>
      <c r="M186" t="str">
        <f t="shared" si="41"/>
        <v/>
      </c>
    </row>
    <row r="187" spans="1:13">
      <c r="A187" t="str">
        <f>IF(编写对白!$A186="","",编写对白!$A186)</f>
        <v/>
      </c>
      <c r="B187" t="str">
        <f>IF(编写对白!$B186="","",编写对白!$B186)</f>
        <v/>
      </c>
      <c r="C187" s="5" t="str">
        <f t="shared" si="35"/>
        <v/>
      </c>
      <c r="D187" t="str">
        <f>IF(编写对白!$F186="","",编写对白!$F186)</f>
        <v/>
      </c>
      <c r="E187" t="str">
        <f>IF(编写对白!D186&lt;0,1,IF(编写对白!$D186="","",0))</f>
        <v/>
      </c>
      <c r="F187" t="str">
        <f>IF(编写对白!$D186="","",编写对白!$D186)</f>
        <v/>
      </c>
      <c r="G187" t="str">
        <f>IF(编写对白!$G186="","",编写对白!$G186)</f>
        <v/>
      </c>
      <c r="H187" t="str">
        <f t="shared" si="36"/>
        <v/>
      </c>
      <c r="I187" t="str">
        <f t="shared" si="37"/>
        <v/>
      </c>
      <c r="J187" t="str">
        <f t="shared" si="38"/>
        <v/>
      </c>
      <c r="K187" t="str">
        <f t="shared" si="39"/>
        <v/>
      </c>
      <c r="L187" t="str">
        <f t="shared" si="40"/>
        <v/>
      </c>
      <c r="M187" t="str">
        <f t="shared" si="41"/>
        <v/>
      </c>
    </row>
    <row r="188" spans="1:13">
      <c r="A188" t="str">
        <f>IF(编写对白!$A187="","",编写对白!$A187)</f>
        <v/>
      </c>
      <c r="B188" t="str">
        <f>IF(编写对白!$B187="","",编写对白!$B187)</f>
        <v/>
      </c>
      <c r="C188" s="5" t="str">
        <f t="shared" si="35"/>
        <v/>
      </c>
      <c r="D188" t="str">
        <f>IF(编写对白!$F187="","",编写对白!$F187)</f>
        <v/>
      </c>
      <c r="E188" t="str">
        <f>IF(编写对白!D187&lt;0,1,IF(编写对白!$D187="","",0))</f>
        <v/>
      </c>
      <c r="F188" t="str">
        <f>IF(编写对白!$D187="","",编写对白!$D187)</f>
        <v/>
      </c>
      <c r="G188" t="str">
        <f>IF(编写对白!$G187="","",编写对白!$G187)</f>
        <v/>
      </c>
      <c r="H188" t="str">
        <f t="shared" si="36"/>
        <v/>
      </c>
      <c r="I188" t="str">
        <f t="shared" si="37"/>
        <v/>
      </c>
      <c r="J188" t="str">
        <f t="shared" si="38"/>
        <v/>
      </c>
      <c r="K188" t="str">
        <f t="shared" si="39"/>
        <v/>
      </c>
      <c r="L188" t="str">
        <f t="shared" si="40"/>
        <v/>
      </c>
      <c r="M188" t="str">
        <f t="shared" si="41"/>
        <v/>
      </c>
    </row>
    <row r="189" spans="1:13">
      <c r="A189" t="str">
        <f>IF(编写对白!$A188="","",编写对白!$A188)</f>
        <v/>
      </c>
      <c r="B189" t="str">
        <f>IF(编写对白!$B188="","",编写对白!$B188)</f>
        <v/>
      </c>
      <c r="C189" s="5" t="str">
        <f t="shared" si="35"/>
        <v/>
      </c>
      <c r="D189" t="str">
        <f>IF(编写对白!$F188="","",编写对白!$F188)</f>
        <v/>
      </c>
      <c r="E189" t="str">
        <f>IF(编写对白!D188&lt;0,1,IF(编写对白!$D188="","",0))</f>
        <v/>
      </c>
      <c r="F189" t="str">
        <f>IF(编写对白!$D188="","",编写对白!$D188)</f>
        <v/>
      </c>
      <c r="G189" t="str">
        <f>IF(编写对白!$G188="","",编写对白!$G188)</f>
        <v/>
      </c>
      <c r="H189" t="str">
        <f t="shared" si="36"/>
        <v/>
      </c>
      <c r="I189" t="str">
        <f t="shared" si="37"/>
        <v/>
      </c>
      <c r="J189" t="str">
        <f t="shared" si="38"/>
        <v/>
      </c>
      <c r="K189" t="str">
        <f t="shared" si="39"/>
        <v/>
      </c>
      <c r="L189" t="str">
        <f t="shared" si="40"/>
        <v/>
      </c>
      <c r="M189" t="str">
        <f t="shared" si="41"/>
        <v/>
      </c>
    </row>
    <row r="190" spans="1:13">
      <c r="A190" t="str">
        <f>IF(编写对白!$A189="","",编写对白!$A189)</f>
        <v/>
      </c>
      <c r="B190" t="str">
        <f>IF(编写对白!$B189="","",编写对白!$B189)</f>
        <v/>
      </c>
      <c r="C190" s="5" t="str">
        <f t="shared" si="35"/>
        <v/>
      </c>
      <c r="D190" t="str">
        <f>IF(编写对白!$F189="","",编写对白!$F189)</f>
        <v/>
      </c>
      <c r="E190" t="str">
        <f>IF(编写对白!D189&lt;0,1,IF(编写对白!$D189="","",0))</f>
        <v/>
      </c>
      <c r="F190" t="str">
        <f>IF(编写对白!$D189="","",编写对白!$D189)</f>
        <v/>
      </c>
      <c r="G190" t="str">
        <f>IF(编写对白!$G189="","",编写对白!$G189)</f>
        <v/>
      </c>
      <c r="H190" t="str">
        <f t="shared" si="36"/>
        <v/>
      </c>
      <c r="I190" t="str">
        <f t="shared" si="37"/>
        <v/>
      </c>
      <c r="J190" t="str">
        <f t="shared" si="38"/>
        <v/>
      </c>
      <c r="K190" t="str">
        <f t="shared" si="39"/>
        <v/>
      </c>
      <c r="L190" t="str">
        <f t="shared" si="40"/>
        <v/>
      </c>
      <c r="M190" t="str">
        <f t="shared" si="41"/>
        <v/>
      </c>
    </row>
    <row r="191" spans="1:13">
      <c r="A191" t="str">
        <f>IF(编写对白!$A190="","",编写对白!$A190)</f>
        <v/>
      </c>
      <c r="B191" t="str">
        <f>IF(编写对白!$B190="","",编写对白!$B190)</f>
        <v/>
      </c>
      <c r="C191" s="5" t="str">
        <f t="shared" si="35"/>
        <v/>
      </c>
      <c r="D191" t="str">
        <f>IF(编写对白!$F190="","",编写对白!$F190)</f>
        <v/>
      </c>
      <c r="E191" t="str">
        <f>IF(编写对白!D190&lt;0,1,IF(编写对白!$D190="","",0))</f>
        <v/>
      </c>
      <c r="F191" t="str">
        <f>IF(编写对白!$D190="","",编写对白!$D190)</f>
        <v/>
      </c>
      <c r="G191" t="str">
        <f>IF(编写对白!$G190="","",编写对白!$G190)</f>
        <v/>
      </c>
      <c r="H191" t="str">
        <f t="shared" si="36"/>
        <v/>
      </c>
      <c r="I191" t="str">
        <f t="shared" si="37"/>
        <v/>
      </c>
      <c r="J191" t="str">
        <f t="shared" si="38"/>
        <v/>
      </c>
      <c r="K191" t="str">
        <f t="shared" si="39"/>
        <v/>
      </c>
      <c r="L191" t="str">
        <f t="shared" si="40"/>
        <v/>
      </c>
      <c r="M191" t="str">
        <f t="shared" si="41"/>
        <v/>
      </c>
    </row>
    <row r="192" spans="1:13">
      <c r="A192" t="str">
        <f>IF(编写对白!$A191="","",编写对白!$A191)</f>
        <v/>
      </c>
      <c r="B192" t="str">
        <f>IF(编写对白!$B191="","",编写对白!$B191)</f>
        <v/>
      </c>
      <c r="C192" s="5" t="str">
        <f t="shared" si="35"/>
        <v/>
      </c>
      <c r="D192" t="str">
        <f>IF(编写对白!$F191="","",编写对白!$F191)</f>
        <v/>
      </c>
      <c r="E192" t="str">
        <f>IF(编写对白!D191&lt;0,1,IF(编写对白!$D191="","",0))</f>
        <v/>
      </c>
      <c r="F192" t="str">
        <f>IF(编写对白!$D191="","",编写对白!$D191)</f>
        <v/>
      </c>
      <c r="G192" t="str">
        <f>IF(编写对白!$G191="","",编写对白!$G191)</f>
        <v/>
      </c>
      <c r="H192" t="str">
        <f t="shared" si="36"/>
        <v/>
      </c>
      <c r="I192" t="str">
        <f t="shared" si="37"/>
        <v/>
      </c>
      <c r="J192" t="str">
        <f t="shared" si="38"/>
        <v/>
      </c>
      <c r="K192" t="str">
        <f t="shared" si="39"/>
        <v/>
      </c>
      <c r="L192" t="str">
        <f t="shared" si="40"/>
        <v/>
      </c>
      <c r="M192" t="str">
        <f t="shared" si="41"/>
        <v/>
      </c>
    </row>
    <row r="193" spans="1:13">
      <c r="A193" t="str">
        <f>IF(编写对白!$A192="","",编写对白!$A192)</f>
        <v/>
      </c>
      <c r="B193" t="str">
        <f>IF(编写对白!$B192="","",编写对白!$B192)</f>
        <v/>
      </c>
      <c r="C193" s="5" t="str">
        <f t="shared" si="35"/>
        <v/>
      </c>
      <c r="D193" t="str">
        <f>IF(编写对白!$F192="","",编写对白!$F192)</f>
        <v/>
      </c>
      <c r="E193" t="str">
        <f>IF(编写对白!D192&lt;0,1,IF(编写对白!$D192="","",0))</f>
        <v/>
      </c>
      <c r="F193" t="str">
        <f>IF(编写对白!$D192="","",编写对白!$D192)</f>
        <v/>
      </c>
      <c r="G193" t="str">
        <f>IF(编写对白!$G192="","",编写对白!$G192)</f>
        <v/>
      </c>
      <c r="H193" t="str">
        <f t="shared" si="36"/>
        <v/>
      </c>
      <c r="I193" t="str">
        <f t="shared" si="37"/>
        <v/>
      </c>
      <c r="J193" t="str">
        <f t="shared" si="38"/>
        <v/>
      </c>
      <c r="K193" t="str">
        <f t="shared" si="39"/>
        <v/>
      </c>
      <c r="L193" t="str">
        <f t="shared" si="40"/>
        <v/>
      </c>
      <c r="M193" t="str">
        <f t="shared" si="41"/>
        <v/>
      </c>
    </row>
    <row r="194" spans="1:13">
      <c r="A194" t="str">
        <f>IF(编写对白!$A193="","",编写对白!$A193)</f>
        <v/>
      </c>
      <c r="B194" t="str">
        <f>IF(编写对白!$B193="","",编写对白!$B193)</f>
        <v/>
      </c>
      <c r="C194" s="5" t="str">
        <f t="shared" si="35"/>
        <v/>
      </c>
      <c r="D194" t="str">
        <f>IF(编写对白!$F193="","",编写对白!$F193)</f>
        <v/>
      </c>
      <c r="E194" t="str">
        <f>IF(编写对白!D193&lt;0,1,IF(编写对白!$D193="","",0))</f>
        <v/>
      </c>
      <c r="F194" t="str">
        <f>IF(编写对白!$D193="","",编写对白!$D193)</f>
        <v/>
      </c>
      <c r="G194" t="str">
        <f>IF(编写对白!$G193="","",编写对白!$G193)</f>
        <v/>
      </c>
      <c r="H194" t="str">
        <f t="shared" si="36"/>
        <v/>
      </c>
      <c r="I194" t="str">
        <f t="shared" si="37"/>
        <v/>
      </c>
      <c r="J194" t="str">
        <f t="shared" si="38"/>
        <v/>
      </c>
      <c r="K194" t="str">
        <f t="shared" si="39"/>
        <v/>
      </c>
      <c r="L194" t="str">
        <f t="shared" si="40"/>
        <v/>
      </c>
      <c r="M194" t="str">
        <f t="shared" si="41"/>
        <v/>
      </c>
    </row>
    <row r="195" spans="1:13">
      <c r="A195" t="str">
        <f>IF(编写对白!$A194="","",编写对白!$A194)</f>
        <v/>
      </c>
      <c r="B195" t="str">
        <f>IF(编写对白!$B194="","",编写对白!$B194)</f>
        <v/>
      </c>
      <c r="C195" s="5" t="str">
        <f t="shared" si="35"/>
        <v/>
      </c>
      <c r="D195" t="str">
        <f>IF(编写对白!$F194="","",编写对白!$F194)</f>
        <v/>
      </c>
      <c r="E195" t="str">
        <f>IF(编写对白!D194&lt;0,1,IF(编写对白!$D194="","",0))</f>
        <v/>
      </c>
      <c r="F195" t="str">
        <f>IF(编写对白!$D194="","",编写对白!$D194)</f>
        <v/>
      </c>
      <c r="G195" t="str">
        <f>IF(编写对白!$G194="","",编写对白!$G194)</f>
        <v/>
      </c>
      <c r="H195" t="str">
        <f t="shared" si="36"/>
        <v/>
      </c>
      <c r="I195" t="str">
        <f t="shared" si="37"/>
        <v/>
      </c>
      <c r="J195" t="str">
        <f t="shared" si="38"/>
        <v/>
      </c>
      <c r="K195" t="str">
        <f t="shared" si="39"/>
        <v/>
      </c>
      <c r="L195" t="str">
        <f t="shared" si="40"/>
        <v/>
      </c>
      <c r="M195" t="str">
        <f t="shared" si="41"/>
        <v/>
      </c>
    </row>
    <row r="196" spans="1:13">
      <c r="A196" t="str">
        <f>IF(编写对白!$A195="","",编写对白!$A195)</f>
        <v/>
      </c>
      <c r="B196" t="str">
        <f>IF(编写对白!$B195="","",编写对白!$B195)</f>
        <v/>
      </c>
      <c r="C196" s="5" t="str">
        <f t="shared" si="35"/>
        <v/>
      </c>
      <c r="D196" t="str">
        <f>IF(编写对白!$F195="","",编写对白!$F195)</f>
        <v/>
      </c>
      <c r="E196" t="str">
        <f>IF(编写对白!D195&lt;0,1,IF(编写对白!$D195="","",0))</f>
        <v/>
      </c>
      <c r="F196" t="str">
        <f>IF(编写对白!$D195="","",编写对白!$D195)</f>
        <v/>
      </c>
      <c r="G196" t="str">
        <f>IF(编写对白!$G195="","",编写对白!$G195)</f>
        <v/>
      </c>
      <c r="H196" t="str">
        <f t="shared" si="36"/>
        <v/>
      </c>
      <c r="I196" t="str">
        <f t="shared" si="37"/>
        <v/>
      </c>
      <c r="J196" t="str">
        <f t="shared" si="38"/>
        <v/>
      </c>
      <c r="K196" t="str">
        <f t="shared" si="39"/>
        <v/>
      </c>
      <c r="L196" t="str">
        <f t="shared" si="40"/>
        <v/>
      </c>
      <c r="M196" t="str">
        <f t="shared" si="41"/>
        <v/>
      </c>
    </row>
    <row r="197" spans="1:13">
      <c r="A197" t="str">
        <f>IF(编写对白!$A196="","",编写对白!$A196)</f>
        <v/>
      </c>
      <c r="B197" t="str">
        <f>IF(编写对白!$B196="","",编写对白!$B196)</f>
        <v/>
      </c>
      <c r="C197" s="5" t="str">
        <f t="shared" si="35"/>
        <v/>
      </c>
      <c r="D197" t="str">
        <f>IF(编写对白!$F196="","",编写对白!$F196)</f>
        <v/>
      </c>
      <c r="E197" t="str">
        <f>IF(编写对白!D196&lt;0,1,IF(编写对白!$D196="","",0))</f>
        <v/>
      </c>
      <c r="F197" t="str">
        <f>IF(编写对白!$D196="","",编写对白!$D196)</f>
        <v/>
      </c>
      <c r="G197" t="str">
        <f>IF(编写对白!$G196="","",编写对白!$G196)</f>
        <v/>
      </c>
      <c r="H197" t="str">
        <f t="shared" si="36"/>
        <v/>
      </c>
      <c r="I197" t="str">
        <f t="shared" si="37"/>
        <v/>
      </c>
      <c r="J197" t="str">
        <f t="shared" si="38"/>
        <v/>
      </c>
      <c r="K197" t="str">
        <f t="shared" si="39"/>
        <v/>
      </c>
      <c r="L197" t="str">
        <f t="shared" si="40"/>
        <v/>
      </c>
      <c r="M197" t="str">
        <f t="shared" si="41"/>
        <v/>
      </c>
    </row>
    <row r="198" spans="1:13">
      <c r="A198" t="str">
        <f>IF(编写对白!$A197="","",编写对白!$A197)</f>
        <v/>
      </c>
      <c r="B198" t="str">
        <f>IF(编写对白!$B197="","",编写对白!$B197)</f>
        <v/>
      </c>
      <c r="C198" s="5" t="str">
        <f t="shared" si="35"/>
        <v/>
      </c>
      <c r="D198" t="str">
        <f>IF(编写对白!$F197="","",编写对白!$F197)</f>
        <v/>
      </c>
      <c r="E198" t="str">
        <f>IF(编写对白!D197&lt;0,1,IF(编写对白!$D197="","",0))</f>
        <v/>
      </c>
      <c r="F198" t="str">
        <f>IF(编写对白!$D197="","",编写对白!$D197)</f>
        <v/>
      </c>
      <c r="G198" t="str">
        <f>IF(编写对白!$G197="","",编写对白!$G197)</f>
        <v/>
      </c>
      <c r="H198" t="str">
        <f t="shared" si="36"/>
        <v/>
      </c>
      <c r="I198" t="str">
        <f t="shared" si="37"/>
        <v/>
      </c>
      <c r="J198" t="str">
        <f t="shared" si="38"/>
        <v/>
      </c>
      <c r="K198" t="str">
        <f t="shared" si="39"/>
        <v/>
      </c>
      <c r="L198" t="str">
        <f t="shared" si="40"/>
        <v/>
      </c>
      <c r="M198" t="str">
        <f t="shared" si="41"/>
        <v/>
      </c>
    </row>
    <row r="199" spans="1:13">
      <c r="A199" t="str">
        <f>IF(编写对白!$A198="","",编写对白!$A198)</f>
        <v/>
      </c>
      <c r="B199" t="str">
        <f>IF(编写对白!$B198="","",编写对白!$B198)</f>
        <v/>
      </c>
      <c r="C199" s="5" t="str">
        <f t="shared" si="35"/>
        <v/>
      </c>
      <c r="D199" t="str">
        <f>IF(编写对白!$F198="","",编写对白!$F198)</f>
        <v/>
      </c>
      <c r="E199" t="str">
        <f>IF(编写对白!D198&lt;0,1,IF(编写对白!$D198="","",0))</f>
        <v/>
      </c>
      <c r="F199" t="str">
        <f>IF(编写对白!$D198="","",编写对白!$D198)</f>
        <v/>
      </c>
      <c r="G199" t="str">
        <f>IF(编写对白!$G198="","",编写对白!$G198)</f>
        <v/>
      </c>
      <c r="H199" t="str">
        <f t="shared" si="36"/>
        <v/>
      </c>
      <c r="I199" t="str">
        <f t="shared" si="37"/>
        <v/>
      </c>
      <c r="J199" t="str">
        <f t="shared" si="38"/>
        <v/>
      </c>
      <c r="K199" t="str">
        <f t="shared" si="39"/>
        <v/>
      </c>
      <c r="L199" t="str">
        <f t="shared" si="40"/>
        <v/>
      </c>
      <c r="M199" t="str">
        <f t="shared" si="41"/>
        <v/>
      </c>
    </row>
    <row r="200" spans="1:13">
      <c r="A200" t="str">
        <f>IF(编写对白!$A199="","",编写对白!$A199)</f>
        <v/>
      </c>
      <c r="B200" t="str">
        <f>IF(编写对白!$B199="","",编写对白!$B199)</f>
        <v/>
      </c>
      <c r="C200" s="5" t="str">
        <f t="shared" si="35"/>
        <v/>
      </c>
      <c r="D200" t="str">
        <f>IF(编写对白!$F199="","",编写对白!$F199)</f>
        <v/>
      </c>
      <c r="E200" t="str">
        <f>IF(编写对白!D199&lt;0,1,IF(编写对白!$D199="","",0))</f>
        <v/>
      </c>
      <c r="F200" t="str">
        <f>IF(编写对白!$D199="","",编写对白!$D199)</f>
        <v/>
      </c>
      <c r="G200" t="str">
        <f>IF(编写对白!$G199="","",编写对白!$G199)</f>
        <v/>
      </c>
      <c r="H200" t="str">
        <f t="shared" si="36"/>
        <v/>
      </c>
      <c r="I200" t="str">
        <f t="shared" si="37"/>
        <v/>
      </c>
      <c r="J200" t="str">
        <f t="shared" si="38"/>
        <v/>
      </c>
      <c r="K200" t="str">
        <f t="shared" si="39"/>
        <v/>
      </c>
      <c r="L200" t="str">
        <f t="shared" si="40"/>
        <v/>
      </c>
      <c r="M200" t="str">
        <f t="shared" si="41"/>
        <v/>
      </c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H26"/>
  <sheetViews>
    <sheetView workbookViewId="0">
      <selection activeCell="V5" sqref="V5"/>
    </sheetView>
  </sheetViews>
  <sheetFormatPr defaultColWidth="9" defaultRowHeight="13.5"/>
  <cols>
    <col min="2" max="2" width="13" customWidth="1"/>
    <col min="3" max="3" width="13.875" customWidth="1"/>
    <col min="4" max="4" width="9.5" customWidth="1"/>
    <col min="5" max="5" width="7.75" customWidth="1"/>
    <col min="6" max="6" width="8.375" customWidth="1"/>
    <col min="7" max="7" width="8.125" customWidth="1"/>
    <col min="9" max="9" width="8.25" customWidth="1"/>
    <col min="10" max="10" width="16.875" customWidth="1"/>
    <col min="11" max="11" width="15.875" customWidth="1"/>
    <col min="13" max="13" width="16.125" customWidth="1"/>
    <col min="15" max="15" width="15.75" customWidth="1"/>
    <col min="17" max="17" width="14.875" customWidth="1"/>
    <col min="18" max="18" width="11.5" customWidth="1"/>
    <col min="19" max="21" width="9.375"/>
    <col min="25" max="25" width="9.375"/>
    <col min="27" max="27" width="9.375"/>
    <col min="31" max="31" width="9.375"/>
    <col min="33" max="33" width="9.375"/>
  </cols>
  <sheetData>
    <row r="1" spans="1:60">
      <c r="A1" s="1" t="s">
        <v>123</v>
      </c>
      <c r="B1" s="1" t="s">
        <v>124</v>
      </c>
      <c r="C1" s="1" t="s">
        <v>351</v>
      </c>
      <c r="D1" s="1" t="s">
        <v>352</v>
      </c>
      <c r="E1" s="1" t="s">
        <v>353</v>
      </c>
      <c r="F1" s="1" t="s">
        <v>354</v>
      </c>
      <c r="G1" s="1" t="s">
        <v>355</v>
      </c>
      <c r="H1" s="1" t="s">
        <v>356</v>
      </c>
      <c r="I1" s="1" t="s">
        <v>357</v>
      </c>
      <c r="J1" s="1" t="s">
        <v>358</v>
      </c>
      <c r="K1" s="1" t="s">
        <v>359</v>
      </c>
      <c r="L1" s="1" t="s">
        <v>360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365</v>
      </c>
      <c r="R1" s="1" t="s">
        <v>366</v>
      </c>
      <c r="S1" s="1" t="s">
        <v>367</v>
      </c>
      <c r="T1" s="1" t="s">
        <v>368</v>
      </c>
      <c r="U1" s="1" t="s">
        <v>369</v>
      </c>
      <c r="V1" s="1" t="s">
        <v>370</v>
      </c>
      <c r="W1" s="1" t="s">
        <v>371</v>
      </c>
      <c r="X1" s="1" t="s">
        <v>372</v>
      </c>
      <c r="Y1" s="1" t="s">
        <v>373</v>
      </c>
      <c r="Z1" s="1" t="s">
        <v>374</v>
      </c>
      <c r="AA1" s="1" t="s">
        <v>375</v>
      </c>
      <c r="AB1" s="1" t="s">
        <v>376</v>
      </c>
      <c r="AC1" s="1" t="s">
        <v>377</v>
      </c>
      <c r="AD1" s="1" t="s">
        <v>378</v>
      </c>
      <c r="AE1" s="1" t="s">
        <v>379</v>
      </c>
      <c r="AF1" s="1" t="s">
        <v>380</v>
      </c>
      <c r="AG1" s="1" t="s">
        <v>381</v>
      </c>
      <c r="AH1" s="1" t="s">
        <v>382</v>
      </c>
      <c r="AI1" s="1" t="s">
        <v>383</v>
      </c>
      <c r="AJ1" s="1" t="s">
        <v>384</v>
      </c>
      <c r="AK1" s="1" t="s">
        <v>385</v>
      </c>
      <c r="AL1" s="1" t="s">
        <v>386</v>
      </c>
      <c r="AM1" s="1" t="s">
        <v>387</v>
      </c>
      <c r="AN1" s="1" t="s">
        <v>388</v>
      </c>
      <c r="AO1" s="1" t="s">
        <v>389</v>
      </c>
      <c r="AP1" s="1" t="s">
        <v>390</v>
      </c>
      <c r="AQ1" s="1" t="s">
        <v>391</v>
      </c>
      <c r="AR1" s="1" t="s">
        <v>392</v>
      </c>
      <c r="AS1" s="1" t="s">
        <v>393</v>
      </c>
      <c r="AT1" s="1" t="s">
        <v>394</v>
      </c>
      <c r="AU1" s="1" t="s">
        <v>395</v>
      </c>
      <c r="AV1" s="1" t="s">
        <v>396</v>
      </c>
      <c r="AW1" s="1" t="s">
        <v>397</v>
      </c>
      <c r="AX1" s="1" t="s">
        <v>398</v>
      </c>
      <c r="AY1" s="1" t="s">
        <v>399</v>
      </c>
      <c r="AZ1" s="1" t="s">
        <v>400</v>
      </c>
      <c r="BA1" s="1" t="s">
        <v>401</v>
      </c>
      <c r="BB1" s="1" t="s">
        <v>402</v>
      </c>
      <c r="BC1" s="1" t="s">
        <v>403</v>
      </c>
      <c r="BD1" s="1" t="s">
        <v>404</v>
      </c>
      <c r="BE1" s="1" t="s">
        <v>405</v>
      </c>
      <c r="BF1" s="1" t="s">
        <v>406</v>
      </c>
      <c r="BG1" s="1" t="s">
        <v>407</v>
      </c>
      <c r="BH1" s="1" t="s">
        <v>408</v>
      </c>
    </row>
    <row r="2" spans="1:60">
      <c r="A2" s="1" t="s">
        <v>153</v>
      </c>
      <c r="B2" s="1" t="s">
        <v>154</v>
      </c>
      <c r="C2" s="1" t="s">
        <v>154</v>
      </c>
      <c r="D2" s="1" t="s">
        <v>153</v>
      </c>
      <c r="E2" s="1" t="s">
        <v>153</v>
      </c>
      <c r="F2" s="1" t="s">
        <v>153</v>
      </c>
      <c r="G2" s="1" t="s">
        <v>153</v>
      </c>
      <c r="H2" s="1" t="s">
        <v>153</v>
      </c>
      <c r="I2" s="1" t="s">
        <v>153</v>
      </c>
      <c r="J2" s="1" t="s">
        <v>154</v>
      </c>
      <c r="K2" s="1" t="s">
        <v>154</v>
      </c>
      <c r="L2" s="1" t="s">
        <v>154</v>
      </c>
      <c r="M2" s="1" t="s">
        <v>154</v>
      </c>
      <c r="N2" s="1" t="s">
        <v>154</v>
      </c>
      <c r="O2" s="1" t="s">
        <v>154</v>
      </c>
      <c r="P2" s="1" t="s">
        <v>154</v>
      </c>
      <c r="Q2" s="1" t="s">
        <v>153</v>
      </c>
      <c r="R2" s="1" t="s">
        <v>153</v>
      </c>
      <c r="S2" s="1" t="s">
        <v>155</v>
      </c>
      <c r="T2" s="1" t="s">
        <v>155</v>
      </c>
      <c r="U2" s="1" t="s">
        <v>155</v>
      </c>
      <c r="V2" s="1" t="s">
        <v>153</v>
      </c>
      <c r="W2" s="1" t="s">
        <v>153</v>
      </c>
      <c r="X2" s="1" t="s">
        <v>153</v>
      </c>
      <c r="Y2" s="1" t="s">
        <v>155</v>
      </c>
      <c r="Z2" s="1" t="s">
        <v>155</v>
      </c>
      <c r="AA2" s="1" t="s">
        <v>155</v>
      </c>
      <c r="AB2" s="1" t="s">
        <v>153</v>
      </c>
      <c r="AC2" s="1" t="s">
        <v>153</v>
      </c>
      <c r="AD2" s="1" t="s">
        <v>153</v>
      </c>
      <c r="AE2" s="1" t="s">
        <v>155</v>
      </c>
      <c r="AF2" s="1" t="s">
        <v>155</v>
      </c>
      <c r="AG2" s="1" t="s">
        <v>155</v>
      </c>
      <c r="AH2" s="1" t="s">
        <v>153</v>
      </c>
      <c r="AI2" s="1" t="s">
        <v>153</v>
      </c>
      <c r="AJ2" s="1" t="s">
        <v>153</v>
      </c>
      <c r="AK2" s="1" t="s">
        <v>155</v>
      </c>
      <c r="AL2" s="1" t="s">
        <v>155</v>
      </c>
      <c r="AM2" s="1" t="s">
        <v>155</v>
      </c>
      <c r="AN2" s="1" t="s">
        <v>153</v>
      </c>
      <c r="AO2" s="1" t="s">
        <v>153</v>
      </c>
      <c r="AP2" s="1" t="s">
        <v>153</v>
      </c>
      <c r="AQ2" s="1" t="s">
        <v>155</v>
      </c>
      <c r="AR2" s="1" t="s">
        <v>155</v>
      </c>
      <c r="AS2" s="1" t="s">
        <v>155</v>
      </c>
      <c r="AT2" s="1" t="s">
        <v>153</v>
      </c>
      <c r="AU2" s="1" t="s">
        <v>153</v>
      </c>
      <c r="AV2" s="1" t="s">
        <v>153</v>
      </c>
      <c r="AW2" s="1" t="s">
        <v>153</v>
      </c>
      <c r="AX2" s="1" t="s">
        <v>153</v>
      </c>
      <c r="AY2" s="1" t="s">
        <v>153</v>
      </c>
      <c r="AZ2" s="1" t="s">
        <v>153</v>
      </c>
      <c r="BA2" s="1" t="s">
        <v>153</v>
      </c>
      <c r="BB2" s="1" t="s">
        <v>153</v>
      </c>
      <c r="BC2" s="1" t="s">
        <v>153</v>
      </c>
      <c r="BD2" s="1" t="s">
        <v>155</v>
      </c>
      <c r="BE2" s="1" t="s">
        <v>153</v>
      </c>
      <c r="BF2" s="1" t="s">
        <v>153</v>
      </c>
      <c r="BG2" s="1" t="s">
        <v>153</v>
      </c>
      <c r="BH2" s="1" t="s">
        <v>153</v>
      </c>
    </row>
    <row r="3" spans="1:60">
      <c r="A3" s="1" t="s">
        <v>409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</row>
    <row r="4" spans="1:60">
      <c r="A4" s="1" t="s">
        <v>157</v>
      </c>
      <c r="B4" s="1" t="s">
        <v>281</v>
      </c>
      <c r="C4" s="1" t="s">
        <v>410</v>
      </c>
      <c r="D4" s="1" t="s">
        <v>411</v>
      </c>
      <c r="E4" s="1" t="s">
        <v>412</v>
      </c>
      <c r="F4" s="1" t="s">
        <v>413</v>
      </c>
      <c r="G4" s="1" t="s">
        <v>414</v>
      </c>
      <c r="H4" s="1" t="s">
        <v>415</v>
      </c>
      <c r="I4" s="1" t="s">
        <v>416</v>
      </c>
      <c r="J4" s="1" t="s">
        <v>417</v>
      </c>
      <c r="K4" s="1" t="s">
        <v>418</v>
      </c>
      <c r="L4" s="1" t="s">
        <v>419</v>
      </c>
      <c r="M4" s="1" t="s">
        <v>420</v>
      </c>
      <c r="N4" s="1" t="s">
        <v>421</v>
      </c>
      <c r="O4" s="1" t="s">
        <v>422</v>
      </c>
      <c r="P4" s="1" t="s">
        <v>423</v>
      </c>
      <c r="Q4" s="1" t="s">
        <v>424</v>
      </c>
      <c r="R4" s="1" t="s">
        <v>425</v>
      </c>
      <c r="S4" s="1"/>
      <c r="T4" s="1"/>
      <c r="U4" s="1"/>
      <c r="V4" s="1" t="s">
        <v>426</v>
      </c>
      <c r="W4" s="1" t="s">
        <v>427</v>
      </c>
      <c r="X4" s="1" t="s">
        <v>428</v>
      </c>
      <c r="Y4" s="1"/>
      <c r="Z4" s="1"/>
      <c r="AA4" s="1"/>
      <c r="AB4" s="1" t="s">
        <v>426</v>
      </c>
      <c r="AC4" s="1" t="s">
        <v>429</v>
      </c>
      <c r="AD4" s="1" t="s">
        <v>430</v>
      </c>
      <c r="AE4" s="1" t="s">
        <v>431</v>
      </c>
      <c r="AF4" s="1" t="s">
        <v>432</v>
      </c>
      <c r="AG4" s="1" t="s">
        <v>433</v>
      </c>
      <c r="AH4" s="1" t="s">
        <v>426</v>
      </c>
      <c r="AI4" s="1" t="s">
        <v>434</v>
      </c>
      <c r="AJ4" s="1" t="s">
        <v>435</v>
      </c>
      <c r="AK4" s="1" t="s">
        <v>436</v>
      </c>
      <c r="AL4" s="1" t="s">
        <v>437</v>
      </c>
      <c r="AM4" s="1" t="s">
        <v>438</v>
      </c>
      <c r="AN4" s="1" t="s">
        <v>426</v>
      </c>
      <c r="AO4" s="1" t="s">
        <v>439</v>
      </c>
      <c r="AP4" s="1" t="s">
        <v>440</v>
      </c>
      <c r="AQ4" s="1" t="s">
        <v>441</v>
      </c>
      <c r="AR4" s="1" t="s">
        <v>442</v>
      </c>
      <c r="AS4" s="1" t="s">
        <v>443</v>
      </c>
      <c r="AT4" s="1" t="s">
        <v>426</v>
      </c>
      <c r="AU4" s="1" t="s">
        <v>444</v>
      </c>
      <c r="AV4" s="1" t="s">
        <v>445</v>
      </c>
      <c r="AW4" s="1" t="s">
        <v>446</v>
      </c>
      <c r="AX4" s="1" t="s">
        <v>447</v>
      </c>
      <c r="AY4" s="1" t="s">
        <v>448</v>
      </c>
      <c r="AZ4" s="1" t="s">
        <v>449</v>
      </c>
      <c r="BA4" s="1" t="s">
        <v>450</v>
      </c>
      <c r="BB4" s="1" t="s">
        <v>451</v>
      </c>
      <c r="BC4" s="1" t="s">
        <v>452</v>
      </c>
      <c r="BD4" s="1" t="s">
        <v>453</v>
      </c>
      <c r="BE4" s="1" t="s">
        <v>454</v>
      </c>
      <c r="BF4" s="1" t="s">
        <v>455</v>
      </c>
      <c r="BG4" s="1" t="s">
        <v>456</v>
      </c>
      <c r="BH4" s="1" t="s">
        <v>457</v>
      </c>
    </row>
    <row r="5" spans="1:60">
      <c r="A5">
        <f>发布任务!A5</f>
        <v>8124</v>
      </c>
      <c r="B5" t="str">
        <f>IF(A5="","",发布任务!B5)</f>
        <v>资13-军衔任务</v>
      </c>
      <c r="C5" t="str">
        <f>IF(A5="","",发布任务!C5)</f>
        <v>初始军衔</v>
      </c>
      <c r="D5" t="str">
        <f>IF($A5="","",$A5&amp;"1")</f>
        <v>81241</v>
      </c>
      <c r="E5">
        <f>IF($A5="","",-1)</f>
        <v>-1</v>
      </c>
      <c r="F5" t="str">
        <f>IF($A5="","",$A5&amp;"2")</f>
        <v>81242</v>
      </c>
      <c r="G5">
        <f>IF($A5="","",-1)</f>
        <v>-1</v>
      </c>
      <c r="H5" t="str">
        <f>IF($A5="","",$A5&amp;"3")</f>
        <v>81243</v>
      </c>
      <c r="I5">
        <f>IF($A5="","",-1)</f>
        <v>-1</v>
      </c>
      <c r="J5" t="str">
        <f>IF($A5="","",发布任务!E5)</f>
        <v>军衔引导1</v>
      </c>
      <c r="K5" t="str">
        <f>IF($A5="","",发布任务!F5)</f>
        <v>完成军衔引导</v>
      </c>
      <c r="L5" t="str">
        <f>IF($A5="","",发布任务!G5)</f>
        <v>0/1</v>
      </c>
      <c r="Q5">
        <f>IF($A5="","",VLOOKUP($R5,捏造NPC!$A$28:$I$57,5,FALSE))</f>
        <v>6</v>
      </c>
      <c r="R5">
        <f>发布任务!$AA5</f>
        <v>123</v>
      </c>
      <c r="S5">
        <f>IF($A5="","",VLOOKUP($R5,捏造NPC!$A$28:$I$57,6,FALSE))</f>
        <v>33</v>
      </c>
      <c r="T5">
        <f>IF($A5="","",VLOOKUP($R5,捏造NPC!$A$28:$I$57,7,FALSE))</f>
        <v>12</v>
      </c>
      <c r="U5">
        <f>IF($A5="","",VLOOKUP($R5,捏造NPC!$A$28:$I$57,8,FALSE))</f>
        <v>34</v>
      </c>
      <c r="V5">
        <f>IF($A5="","",-1)</f>
        <v>-1</v>
      </c>
      <c r="W5">
        <f>IF($A5="","",VLOOKUP($X5,捏造NPC!$A$28:$I$57,5,FALSE))</f>
        <v>6</v>
      </c>
      <c r="X5">
        <f>发布任务!$AC5</f>
        <v>1000</v>
      </c>
      <c r="Y5">
        <f>IF($A5="","",VLOOKUP($X5,捏造NPC!$A$28:$I$57,6,FALSE))</f>
        <v>111</v>
      </c>
      <c r="Z5">
        <f>IF($A5="","",VLOOKUP($X5,捏造NPC!$A$28:$I$57,7,FALSE))</f>
        <v>322</v>
      </c>
      <c r="AA5">
        <f>IF($A5="","",VLOOKUP($X5,捏造NPC!$A$28:$I$57,8,FALSE))</f>
        <v>213</v>
      </c>
      <c r="AB5">
        <f>IF($A5="","",-1)</f>
        <v>-1</v>
      </c>
      <c r="AC5" t="e">
        <f>IF($A5="","",VLOOKUP($AD5,捏造NPC!$A$28:$I$57,5,FALSE))</f>
        <v>#N/A</v>
      </c>
      <c r="AD5">
        <f>发布任务!$AE5</f>
        <v>-1</v>
      </c>
      <c r="AE5" t="e">
        <f>IF($A5="","",VLOOKUP($AD5,捏造NPC!$A$28:$I$57,6,FALSE))</f>
        <v>#N/A</v>
      </c>
      <c r="AF5" t="e">
        <f>IF($A5="","",VLOOKUP($AD5,捏造NPC!$A$28:$I$57,7,FALSE))</f>
        <v>#N/A</v>
      </c>
      <c r="AG5" t="e">
        <f>IF($A5="","",VLOOKUP($AD5,捏造NPC!$A$28:$I$57,8,FALSE))</f>
        <v>#N/A</v>
      </c>
      <c r="AH5">
        <f>IF($A5="","",-1)</f>
        <v>-1</v>
      </c>
      <c r="AI5">
        <f>IF($A5="","",-1)</f>
        <v>-1</v>
      </c>
      <c r="AJ5">
        <f>IF($A5="","",-1)</f>
        <v>-1</v>
      </c>
      <c r="AK5">
        <f>IF($A5="","",-1)</f>
        <v>-1</v>
      </c>
      <c r="AL5">
        <f>IF($A5="","",-1)</f>
        <v>-1</v>
      </c>
      <c r="AM5">
        <f>IF($A5="","",-1)</f>
        <v>-1</v>
      </c>
      <c r="AN5">
        <f>IF($A5="","",0)</f>
        <v>0</v>
      </c>
      <c r="AO5">
        <f>IF($A5="","",-1)</f>
        <v>-1</v>
      </c>
      <c r="AP5">
        <f>IF($A5="","",-1)</f>
        <v>-1</v>
      </c>
      <c r="AQ5">
        <f>IF($A5="","",-1)</f>
        <v>-1</v>
      </c>
      <c r="AR5">
        <f>IF($A5="","",-1)</f>
        <v>-1</v>
      </c>
      <c r="AS5">
        <f>IF($A5="","",-1)</f>
        <v>-1</v>
      </c>
      <c r="AT5">
        <f>IF($A5="","",0)</f>
        <v>0</v>
      </c>
      <c r="AU5">
        <f>IF($A5="","",-1)</f>
        <v>-1</v>
      </c>
      <c r="AV5">
        <f>IF($A5="","",0)</f>
        <v>0</v>
      </c>
      <c r="AW5">
        <f>IF($A5="","",0)</f>
        <v>0</v>
      </c>
      <c r="AX5">
        <f>IF($A5="","",-1)</f>
        <v>-1</v>
      </c>
      <c r="AY5">
        <f>IF($A5="","",1)</f>
        <v>1</v>
      </c>
      <c r="AZ5">
        <f>IF($A5="","",1)</f>
        <v>1</v>
      </c>
      <c r="BA5">
        <f>IF($A5="","",1)</f>
        <v>1</v>
      </c>
      <c r="BB5">
        <f>IF($A5="","",0)</f>
        <v>0</v>
      </c>
      <c r="BC5">
        <f>IF($A5="","",0)</f>
        <v>0</v>
      </c>
      <c r="BD5">
        <f>IF($A5="","",0)</f>
        <v>0</v>
      </c>
      <c r="BE5">
        <f>IF($A5="","",1000)</f>
        <v>1000</v>
      </c>
      <c r="BF5">
        <f>IF($A5="","",-1)</f>
        <v>-1</v>
      </c>
      <c r="BG5">
        <f>IF($A5="","",0)</f>
        <v>0</v>
      </c>
      <c r="BH5">
        <f>IF($A5="","",0)</f>
        <v>0</v>
      </c>
    </row>
    <row r="6" spans="1:60">
      <c r="A6">
        <f>发布任务!A6</f>
        <v>8125</v>
      </c>
      <c r="B6" t="str">
        <f>IF(A6="","",发布任务!B6)</f>
        <v>资14-军衔任务</v>
      </c>
      <c r="C6" t="str">
        <f>IF(A6="","",发布任务!C6)</f>
        <v>初始军衔</v>
      </c>
      <c r="D6" t="str">
        <f>IF($A6="","",$A6&amp;"1")</f>
        <v>81251</v>
      </c>
      <c r="E6">
        <f>IF($A6="","",-1)</f>
        <v>-1</v>
      </c>
      <c r="F6" t="str">
        <f>IF($A6="","",$A6&amp;"2")</f>
        <v>81252</v>
      </c>
      <c r="G6">
        <f>IF($A6="","",-1)</f>
        <v>-1</v>
      </c>
      <c r="H6" t="str">
        <f>IF($A6="","",$A6&amp;"3")</f>
        <v>81253</v>
      </c>
      <c r="I6">
        <f>IF($A6="","",-1)</f>
        <v>-1</v>
      </c>
      <c r="J6" t="str">
        <f>IF($A6="","",发布任务!E6)</f>
        <v>军衔引导2</v>
      </c>
      <c r="K6" t="str">
        <f>IF($A6="","",发布任务!F6)</f>
        <v>完成军衔引导</v>
      </c>
      <c r="L6" t="str">
        <f>IF($A6="","",发布任务!G6)</f>
        <v>0/1</v>
      </c>
      <c r="Q6">
        <f>IF($A6="","",VLOOKUP($R6,捏造NPC!$A$28:$I$57,5,FALSE))</f>
        <v>7</v>
      </c>
      <c r="R6">
        <f>发布任务!$AA6</f>
        <v>1001</v>
      </c>
      <c r="S6">
        <f>IF($A6="","",VLOOKUP($R6,捏造NPC!$A$28:$I$57,6,FALSE))</f>
        <v>231</v>
      </c>
      <c r="T6">
        <f>IF($A6="","",VLOOKUP($R6,捏造NPC!$A$28:$I$57,7,FALSE))</f>
        <v>123</v>
      </c>
      <c r="U6">
        <f>IF($A6="","",VLOOKUP($R6,捏造NPC!$A$28:$I$57,8,FALSE))</f>
        <v>22</v>
      </c>
      <c r="V6">
        <f t="shared" ref="V6:V24" si="0">IF($A6="","",-1)</f>
        <v>-1</v>
      </c>
      <c r="W6">
        <f>IF($A6="","",VLOOKUP($X6,捏造NPC!$A$28:$I$57,5,FALSE))</f>
        <v>7</v>
      </c>
      <c r="X6">
        <f>发布任务!$AC6</f>
        <v>1001</v>
      </c>
      <c r="Y6">
        <f>IF($A6="","",VLOOKUP($X6,捏造NPC!$A$28:$I$57,6,FALSE))</f>
        <v>231</v>
      </c>
      <c r="Z6">
        <f>IF($A6="","",VLOOKUP($X6,捏造NPC!$A$28:$I$57,7,FALSE))</f>
        <v>123</v>
      </c>
      <c r="AA6">
        <f>IF($A6="","",VLOOKUP($X6,捏造NPC!$A$28:$I$57,8,FALSE))</f>
        <v>22</v>
      </c>
      <c r="AB6">
        <f t="shared" ref="AB6:AB24" si="1">IF($A6="","",-1)</f>
        <v>-1</v>
      </c>
      <c r="AC6" t="e">
        <f>IF($A6="","",VLOOKUP($AD6,捏造NPC!$A$28:$I$57,5,FALSE))</f>
        <v>#N/A</v>
      </c>
      <c r="AD6">
        <f>发布任务!$AE6</f>
        <v>-1</v>
      </c>
      <c r="AE6" t="e">
        <f>IF($A6="","",VLOOKUP($AD6,捏造NPC!$A$28:$I$57,6,FALSE))</f>
        <v>#N/A</v>
      </c>
      <c r="AF6" t="e">
        <f>IF($A6="","",VLOOKUP($AD6,捏造NPC!$A$28:$I$57,7,FALSE))</f>
        <v>#N/A</v>
      </c>
      <c r="AG6" t="e">
        <f>IF($A6="","",VLOOKUP($AD6,捏造NPC!$A$28:$I$57,8,FALSE))</f>
        <v>#N/A</v>
      </c>
      <c r="AH6">
        <f t="shared" ref="AH6:AH24" si="2">IF($A6="","",-1)</f>
        <v>-1</v>
      </c>
      <c r="AI6">
        <f>IF($A6="","",-1)</f>
        <v>-1</v>
      </c>
      <c r="AJ6">
        <f>IF($A6="","",-1)</f>
        <v>-1</v>
      </c>
      <c r="AK6">
        <f>IF($A6="","",-1)</f>
        <v>-1</v>
      </c>
      <c r="AL6">
        <f>IF($A6="","",-1)</f>
        <v>-1</v>
      </c>
      <c r="AM6">
        <f>IF($A6="","",-1)</f>
        <v>-1</v>
      </c>
      <c r="AN6">
        <f>IF($A6="","",0)</f>
        <v>0</v>
      </c>
      <c r="AO6">
        <f>IF($A6="","",-1)</f>
        <v>-1</v>
      </c>
      <c r="AP6">
        <f>IF($A6="","",-1)</f>
        <v>-1</v>
      </c>
      <c r="AQ6">
        <f>IF($A6="","",-1)</f>
        <v>-1</v>
      </c>
      <c r="AR6">
        <f>IF($A6="","",-1)</f>
        <v>-1</v>
      </c>
      <c r="AS6">
        <f>IF($A6="","",-1)</f>
        <v>-1</v>
      </c>
      <c r="AT6">
        <f>IF($A6="","",0)</f>
        <v>0</v>
      </c>
      <c r="AU6">
        <f>IF($A6="","",-1)</f>
        <v>-1</v>
      </c>
      <c r="AV6">
        <f>IF($A6="","",0)</f>
        <v>0</v>
      </c>
      <c r="AW6">
        <f>IF($A6="","",0)</f>
        <v>0</v>
      </c>
      <c r="AX6">
        <f>IF($A6="","",-1)</f>
        <v>-1</v>
      </c>
      <c r="AY6">
        <f>IF($A6="","",1)</f>
        <v>1</v>
      </c>
      <c r="AZ6">
        <f>IF($A6="","",1)</f>
        <v>1</v>
      </c>
      <c r="BA6">
        <f>IF($A6="","",1)</f>
        <v>1</v>
      </c>
      <c r="BB6">
        <f>IF($A6="","",0)</f>
        <v>0</v>
      </c>
      <c r="BC6">
        <f>IF($A6="","",0)</f>
        <v>0</v>
      </c>
      <c r="BD6">
        <f>IF($A6="","",0)</f>
        <v>0</v>
      </c>
      <c r="BE6">
        <f>IF($A6="","",1000)</f>
        <v>1000</v>
      </c>
      <c r="BF6">
        <f>IF($A6="","",-1)</f>
        <v>-1</v>
      </c>
      <c r="BG6">
        <f>IF($A6="","",0)</f>
        <v>0</v>
      </c>
      <c r="BH6">
        <f>IF($A6="","",0)</f>
        <v>0</v>
      </c>
    </row>
    <row r="7" spans="1:60">
      <c r="A7">
        <f>发布任务!A7</f>
        <v>8126</v>
      </c>
      <c r="B7" t="str">
        <f>IF(A7="","",发布任务!B7)</f>
        <v>资15-军衔任务</v>
      </c>
      <c r="C7" t="str">
        <f>IF(A7="","",发布任务!C7)</f>
        <v>初始军衔</v>
      </c>
      <c r="D7" t="str">
        <f t="shared" ref="D7:D24" si="3">IF($A7="","",$A7&amp;"1")</f>
        <v>81261</v>
      </c>
      <c r="E7">
        <f t="shared" ref="E7:E24" si="4">IF($A7="","",-1)</f>
        <v>-1</v>
      </c>
      <c r="F7" t="str">
        <f t="shared" ref="F7:F24" si="5">IF($A7="","",$A7&amp;"2")</f>
        <v>81262</v>
      </c>
      <c r="G7">
        <f t="shared" ref="G7:G24" si="6">IF($A7="","",-1)</f>
        <v>-1</v>
      </c>
      <c r="H7" t="str">
        <f t="shared" ref="H7:H24" si="7">IF($A7="","",$A7&amp;"3")</f>
        <v>81263</v>
      </c>
      <c r="I7">
        <f t="shared" ref="I7:I24" si="8">IF($A7="","",-1)</f>
        <v>-1</v>
      </c>
      <c r="J7" t="str">
        <f>IF($A7="","",发布任务!E7)</f>
        <v>军衔引导3</v>
      </c>
      <c r="K7" t="str">
        <f>IF($A7="","",发布任务!F7)</f>
        <v>完成军衔引导</v>
      </c>
      <c r="L7" t="str">
        <f>IF($A7="","",发布任务!G7)</f>
        <v>0/1</v>
      </c>
      <c r="Q7">
        <f>IF($A7="","",VLOOKUP($R7,捏造NPC!$A$28:$I$57,5,FALSE))</f>
        <v>8</v>
      </c>
      <c r="R7">
        <f>发布任务!$AA7</f>
        <v>1002</v>
      </c>
      <c r="S7">
        <f>IF($A7="","",VLOOKUP($R7,捏造NPC!$A$28:$I$57,6,FALSE))</f>
        <v>122</v>
      </c>
      <c r="T7">
        <f>IF($A7="","",VLOOKUP($R7,捏造NPC!$A$28:$I$57,7,FALSE))</f>
        <v>44</v>
      </c>
      <c r="U7">
        <f>IF($A7="","",VLOOKUP($R7,捏造NPC!$A$28:$I$57,8,FALSE))</f>
        <v>66</v>
      </c>
      <c r="V7">
        <f t="shared" si="0"/>
        <v>-1</v>
      </c>
      <c r="W7">
        <f>IF($A7="","",VLOOKUP($X7,捏造NPC!$A$28:$I$57,5,FALSE))</f>
        <v>6</v>
      </c>
      <c r="X7">
        <f>发布任务!$AC7</f>
        <v>1000</v>
      </c>
      <c r="Y7">
        <f>IF($A7="","",VLOOKUP($X7,捏造NPC!$A$28:$I$57,6,FALSE))</f>
        <v>111</v>
      </c>
      <c r="Z7">
        <f>IF($A7="","",VLOOKUP($X7,捏造NPC!$A$28:$I$57,7,FALSE))</f>
        <v>322</v>
      </c>
      <c r="AA7">
        <f>IF($A7="","",VLOOKUP($X7,捏造NPC!$A$28:$I$57,8,FALSE))</f>
        <v>213</v>
      </c>
      <c r="AB7">
        <f t="shared" si="1"/>
        <v>-1</v>
      </c>
      <c r="AC7" t="e">
        <f>IF($A7="","",VLOOKUP($AD7,捏造NPC!$A$28:$I$57,5,FALSE))</f>
        <v>#N/A</v>
      </c>
      <c r="AD7">
        <f>发布任务!$AE7</f>
        <v>-1</v>
      </c>
      <c r="AE7" t="e">
        <f>IF($A7="","",VLOOKUP($AD7,捏造NPC!$A$28:$I$57,6,FALSE))</f>
        <v>#N/A</v>
      </c>
      <c r="AF7" t="e">
        <f>IF($A7="","",VLOOKUP($AD7,捏造NPC!$A$28:$I$57,7,FALSE))</f>
        <v>#N/A</v>
      </c>
      <c r="AG7" t="e">
        <f>IF($A7="","",VLOOKUP($AD7,捏造NPC!$A$28:$I$57,8,FALSE))</f>
        <v>#N/A</v>
      </c>
      <c r="AH7">
        <f t="shared" si="2"/>
        <v>-1</v>
      </c>
      <c r="AI7">
        <f t="shared" ref="AI7:AI24" si="9">IF($A7="","",-1)</f>
        <v>-1</v>
      </c>
      <c r="AJ7">
        <f t="shared" ref="AJ7:AJ24" si="10">IF($A7="","",-1)</f>
        <v>-1</v>
      </c>
      <c r="AK7">
        <f t="shared" ref="AK7:AK24" si="11">IF($A7="","",-1)</f>
        <v>-1</v>
      </c>
      <c r="AL7">
        <f t="shared" ref="AL7:AL24" si="12">IF($A7="","",-1)</f>
        <v>-1</v>
      </c>
      <c r="AM7">
        <f t="shared" ref="AM7:AM24" si="13">IF($A7="","",-1)</f>
        <v>-1</v>
      </c>
      <c r="AN7">
        <f t="shared" ref="AN7:AN24" si="14">IF($A7="","",0)</f>
        <v>0</v>
      </c>
      <c r="AO7">
        <f t="shared" ref="AO7:AO24" si="15">IF($A7="","",-1)</f>
        <v>-1</v>
      </c>
      <c r="AP7">
        <f t="shared" ref="AP7:AP24" si="16">IF($A7="","",-1)</f>
        <v>-1</v>
      </c>
      <c r="AQ7">
        <f t="shared" ref="AQ7:AQ24" si="17">IF($A7="","",-1)</f>
        <v>-1</v>
      </c>
      <c r="AR7">
        <f t="shared" ref="AR7:AR24" si="18">IF($A7="","",-1)</f>
        <v>-1</v>
      </c>
      <c r="AS7">
        <f t="shared" ref="AS7:AS24" si="19">IF($A7="","",-1)</f>
        <v>-1</v>
      </c>
      <c r="AT7">
        <f t="shared" ref="AT7:AT24" si="20">IF($A7="","",0)</f>
        <v>0</v>
      </c>
      <c r="AU7">
        <f t="shared" ref="AU7:AU24" si="21">IF($A7="","",-1)</f>
        <v>-1</v>
      </c>
      <c r="AV7">
        <f t="shared" ref="AV7:AV24" si="22">IF($A7="","",0)</f>
        <v>0</v>
      </c>
      <c r="AW7">
        <f t="shared" ref="AW7:AW24" si="23">IF($A7="","",0)</f>
        <v>0</v>
      </c>
      <c r="AX7">
        <f t="shared" ref="AX7:AX24" si="24">IF($A7="","",-1)</f>
        <v>-1</v>
      </c>
      <c r="AY7">
        <f t="shared" ref="AY7:AY24" si="25">IF($A7="","",1)</f>
        <v>1</v>
      </c>
      <c r="AZ7">
        <f t="shared" ref="AZ7:AZ24" si="26">IF($A7="","",1)</f>
        <v>1</v>
      </c>
      <c r="BA7">
        <f t="shared" ref="BA7:BA24" si="27">IF($A7="","",1)</f>
        <v>1</v>
      </c>
      <c r="BB7">
        <f t="shared" ref="BB7:BB24" si="28">IF($A7="","",0)</f>
        <v>0</v>
      </c>
      <c r="BC7">
        <f t="shared" ref="BC7:BC24" si="29">IF($A7="","",0)</f>
        <v>0</v>
      </c>
      <c r="BD7">
        <f t="shared" ref="BD7:BD24" si="30">IF($A7="","",0)</f>
        <v>0</v>
      </c>
      <c r="BE7">
        <f t="shared" ref="BE7:BE24" si="31">IF($A7="","",1000)</f>
        <v>1000</v>
      </c>
      <c r="BF7">
        <f t="shared" ref="BF7:BF24" si="32">IF($A7="","",-1)</f>
        <v>-1</v>
      </c>
      <c r="BG7">
        <f t="shared" ref="BG7:BG24" si="33">IF($A7="","",0)</f>
        <v>0</v>
      </c>
      <c r="BH7">
        <f t="shared" ref="BH7:BH24" si="34">IF($A7="","",0)</f>
        <v>0</v>
      </c>
    </row>
    <row r="8" spans="1:60">
      <c r="A8" t="str">
        <f>发布任务!A8</f>
        <v/>
      </c>
      <c r="B8" t="str">
        <f>IF(A8="","",发布任务!B8)</f>
        <v/>
      </c>
      <c r="C8" t="str">
        <f>IF(A8="","",发布任务!C8)</f>
        <v/>
      </c>
      <c r="D8" t="str">
        <f t="shared" si="3"/>
        <v/>
      </c>
      <c r="E8" t="str">
        <f t="shared" si="4"/>
        <v/>
      </c>
      <c r="F8" t="str">
        <f t="shared" si="5"/>
        <v/>
      </c>
      <c r="G8" t="str">
        <f t="shared" si="6"/>
        <v/>
      </c>
      <c r="H8" t="str">
        <f t="shared" si="7"/>
        <v/>
      </c>
      <c r="I8" t="str">
        <f t="shared" si="8"/>
        <v/>
      </c>
      <c r="J8" t="str">
        <f>IF($A8="","",发布任务!E8)</f>
        <v/>
      </c>
      <c r="K8" t="str">
        <f>IF($A8="","",发布任务!F8)</f>
        <v/>
      </c>
      <c r="L8" t="str">
        <f>IF($A8="","",发布任务!G8)</f>
        <v/>
      </c>
      <c r="Q8" t="str">
        <f>IF($A8="","",VLOOKUP($R8,捏造NPC!$A$28:$I$57,5,FALSE))</f>
        <v/>
      </c>
      <c r="R8" t="str">
        <f>发布任务!$AA8</f>
        <v/>
      </c>
      <c r="S8" t="str">
        <f>IF($A8="","",VLOOKUP($R8,捏造NPC!$A$28:$I$57,6,FALSE))</f>
        <v/>
      </c>
      <c r="T8" t="str">
        <f>IF($A8="","",VLOOKUP($R8,捏造NPC!$A$28:$I$57,7,FALSE))</f>
        <v/>
      </c>
      <c r="U8" t="str">
        <f>IF($A8="","",VLOOKUP($R8,捏造NPC!$A$28:$I$57,8,FALSE))</f>
        <v/>
      </c>
      <c r="V8" t="str">
        <f t="shared" si="0"/>
        <v/>
      </c>
      <c r="W8" t="str">
        <f>IF($A8="","",VLOOKUP($X8,捏造NPC!$A$28:$I$57,5,FALSE))</f>
        <v/>
      </c>
      <c r="X8" t="str">
        <f>发布任务!$AC8</f>
        <v/>
      </c>
      <c r="Y8" t="str">
        <f>IF($A8="","",VLOOKUP($X8,捏造NPC!$A$28:$I$57,6,FALSE))</f>
        <v/>
      </c>
      <c r="Z8" t="str">
        <f>IF($A8="","",VLOOKUP($X8,捏造NPC!$A$28:$I$57,7,FALSE))</f>
        <v/>
      </c>
      <c r="AA8" t="str">
        <f>IF($A8="","",VLOOKUP($X8,捏造NPC!$A$28:$I$57,8,FALSE))</f>
        <v/>
      </c>
      <c r="AB8" t="str">
        <f t="shared" si="1"/>
        <v/>
      </c>
      <c r="AC8" t="str">
        <f>IF($A8="","",VLOOKUP($AD8,捏造NPC!$A$28:$I$57,5,FALSE))</f>
        <v/>
      </c>
      <c r="AD8" t="str">
        <f>发布任务!$AE8</f>
        <v/>
      </c>
      <c r="AE8" t="str">
        <f>IF($A8="","",VLOOKUP($AD8,捏造NPC!$A$28:$I$57,6,FALSE))</f>
        <v/>
      </c>
      <c r="AF8" t="str">
        <f>IF($A8="","",VLOOKUP($AD8,捏造NPC!$A$28:$I$57,7,FALSE))</f>
        <v/>
      </c>
      <c r="AG8" t="str">
        <f>IF($A8="","",VLOOKUP($AD8,捏造NPC!$A$28:$I$57,8,FALSE))</f>
        <v/>
      </c>
      <c r="AH8" t="str">
        <f t="shared" si="2"/>
        <v/>
      </c>
      <c r="AI8" t="str">
        <f t="shared" si="9"/>
        <v/>
      </c>
      <c r="AJ8" t="str">
        <f t="shared" si="10"/>
        <v/>
      </c>
      <c r="AK8" t="str">
        <f t="shared" si="11"/>
        <v/>
      </c>
      <c r="AL8" t="str">
        <f t="shared" si="12"/>
        <v/>
      </c>
      <c r="AM8" t="str">
        <f t="shared" si="13"/>
        <v/>
      </c>
      <c r="AN8" t="str">
        <f t="shared" si="14"/>
        <v/>
      </c>
      <c r="AO8" t="str">
        <f t="shared" si="15"/>
        <v/>
      </c>
      <c r="AP8" t="str">
        <f t="shared" si="16"/>
        <v/>
      </c>
      <c r="AQ8" t="str">
        <f t="shared" si="17"/>
        <v/>
      </c>
      <c r="AR8" t="str">
        <f t="shared" si="18"/>
        <v/>
      </c>
      <c r="AS8" t="str">
        <f t="shared" si="19"/>
        <v/>
      </c>
      <c r="AT8" t="str">
        <f t="shared" si="20"/>
        <v/>
      </c>
      <c r="AU8" t="str">
        <f t="shared" si="21"/>
        <v/>
      </c>
      <c r="AV8" t="str">
        <f t="shared" si="22"/>
        <v/>
      </c>
      <c r="AW8" t="str">
        <f t="shared" si="23"/>
        <v/>
      </c>
      <c r="AX8" t="str">
        <f t="shared" si="24"/>
        <v/>
      </c>
      <c r="AY8" t="str">
        <f t="shared" si="25"/>
        <v/>
      </c>
      <c r="AZ8" t="str">
        <f t="shared" si="26"/>
        <v/>
      </c>
      <c r="BA8" t="str">
        <f t="shared" si="27"/>
        <v/>
      </c>
      <c r="BB8" t="str">
        <f t="shared" si="28"/>
        <v/>
      </c>
      <c r="BC8" t="str">
        <f t="shared" si="29"/>
        <v/>
      </c>
      <c r="BD8" t="str">
        <f t="shared" si="30"/>
        <v/>
      </c>
      <c r="BE8" t="str">
        <f t="shared" si="31"/>
        <v/>
      </c>
      <c r="BF8" t="str">
        <f t="shared" si="32"/>
        <v/>
      </c>
      <c r="BG8" t="str">
        <f t="shared" si="33"/>
        <v/>
      </c>
      <c r="BH8" t="str">
        <f t="shared" si="34"/>
        <v/>
      </c>
    </row>
    <row r="9" spans="1:60">
      <c r="A9" t="str">
        <f>发布任务!A9</f>
        <v/>
      </c>
      <c r="B9" t="str">
        <f>IF(A9="","",发布任务!B9)</f>
        <v/>
      </c>
      <c r="C9" t="str">
        <f>IF(A9="","",发布任务!C9)</f>
        <v/>
      </c>
      <c r="D9" t="str">
        <f t="shared" si="3"/>
        <v/>
      </c>
      <c r="E9" t="str">
        <f t="shared" si="4"/>
        <v/>
      </c>
      <c r="F9" t="str">
        <f t="shared" si="5"/>
        <v/>
      </c>
      <c r="G9" t="str">
        <f t="shared" si="6"/>
        <v/>
      </c>
      <c r="H9" t="str">
        <f t="shared" si="7"/>
        <v/>
      </c>
      <c r="I9" t="str">
        <f t="shared" si="8"/>
        <v/>
      </c>
      <c r="J9" t="str">
        <f>IF($A9="","",发布任务!E9)</f>
        <v/>
      </c>
      <c r="K9" t="str">
        <f>IF($A9="","",发布任务!F9)</f>
        <v/>
      </c>
      <c r="L9" t="str">
        <f>IF($A9="","",发布任务!G9)</f>
        <v/>
      </c>
      <c r="Q9" t="str">
        <f>IF($A9="","",VLOOKUP($R9,捏造NPC!$A$28:$I$57,5,FALSE))</f>
        <v/>
      </c>
      <c r="R9" t="str">
        <f>发布任务!$AA9</f>
        <v/>
      </c>
      <c r="S9" t="str">
        <f>IF($A9="","",VLOOKUP($R9,捏造NPC!$A$28:$I$57,6,FALSE))</f>
        <v/>
      </c>
      <c r="T9" t="str">
        <f>IF($A9="","",VLOOKUP($R9,捏造NPC!$A$28:$I$57,7,FALSE))</f>
        <v/>
      </c>
      <c r="U9" t="str">
        <f>IF($A9="","",VLOOKUP($R9,捏造NPC!$A$28:$I$57,8,FALSE))</f>
        <v/>
      </c>
      <c r="V9" t="str">
        <f t="shared" si="0"/>
        <v/>
      </c>
      <c r="W9" t="str">
        <f>IF($A9="","",VLOOKUP($X9,捏造NPC!$A$28:$I$57,5,FALSE))</f>
        <v/>
      </c>
      <c r="X9" t="str">
        <f>发布任务!$AC9</f>
        <v/>
      </c>
      <c r="Y9" t="str">
        <f>IF($A9="","",VLOOKUP($X9,捏造NPC!$A$28:$I$57,6,FALSE))</f>
        <v/>
      </c>
      <c r="Z9" t="str">
        <f>IF($A9="","",VLOOKUP($X9,捏造NPC!$A$28:$I$57,7,FALSE))</f>
        <v/>
      </c>
      <c r="AA9" t="str">
        <f>IF($A9="","",VLOOKUP($X9,捏造NPC!$A$28:$I$57,8,FALSE))</f>
        <v/>
      </c>
      <c r="AB9" t="str">
        <f t="shared" si="1"/>
        <v/>
      </c>
      <c r="AC9" t="str">
        <f>IF($A9="","",VLOOKUP($AD9,捏造NPC!$A$28:$I$57,5,FALSE))</f>
        <v/>
      </c>
      <c r="AD9" t="str">
        <f>发布任务!$AE9</f>
        <v/>
      </c>
      <c r="AE9" t="str">
        <f>IF($A9="","",VLOOKUP($AD9,捏造NPC!$A$28:$I$57,6,FALSE))</f>
        <v/>
      </c>
      <c r="AF9" t="str">
        <f>IF($A9="","",VLOOKUP($AD9,捏造NPC!$A$28:$I$57,7,FALSE))</f>
        <v/>
      </c>
      <c r="AG9" t="str">
        <f>IF($A9="","",VLOOKUP($AD9,捏造NPC!$A$28:$I$57,8,FALSE))</f>
        <v/>
      </c>
      <c r="AH9" t="str">
        <f t="shared" si="2"/>
        <v/>
      </c>
      <c r="AI9" t="str">
        <f t="shared" si="9"/>
        <v/>
      </c>
      <c r="AJ9" t="str">
        <f t="shared" si="10"/>
        <v/>
      </c>
      <c r="AK9" t="str">
        <f t="shared" si="11"/>
        <v/>
      </c>
      <c r="AL9" t="str">
        <f t="shared" si="12"/>
        <v/>
      </c>
      <c r="AM9" t="str">
        <f t="shared" si="13"/>
        <v/>
      </c>
      <c r="AN9" t="str">
        <f t="shared" si="14"/>
        <v/>
      </c>
      <c r="AO9" t="str">
        <f t="shared" si="15"/>
        <v/>
      </c>
      <c r="AP9" t="str">
        <f t="shared" si="16"/>
        <v/>
      </c>
      <c r="AQ9" t="str">
        <f t="shared" si="17"/>
        <v/>
      </c>
      <c r="AR9" t="str">
        <f t="shared" si="18"/>
        <v/>
      </c>
      <c r="AS9" t="str">
        <f t="shared" si="19"/>
        <v/>
      </c>
      <c r="AT9" t="str">
        <f t="shared" si="20"/>
        <v/>
      </c>
      <c r="AU9" t="str">
        <f t="shared" si="21"/>
        <v/>
      </c>
      <c r="AV9" t="str">
        <f t="shared" si="22"/>
        <v/>
      </c>
      <c r="AW9" t="str">
        <f t="shared" si="23"/>
        <v/>
      </c>
      <c r="AX9" t="str">
        <f t="shared" si="24"/>
        <v/>
      </c>
      <c r="AY9" t="str">
        <f t="shared" si="25"/>
        <v/>
      </c>
      <c r="AZ9" t="str">
        <f t="shared" si="26"/>
        <v/>
      </c>
      <c r="BA9" t="str">
        <f t="shared" si="27"/>
        <v/>
      </c>
      <c r="BB9" t="str">
        <f t="shared" si="28"/>
        <v/>
      </c>
      <c r="BC9" t="str">
        <f t="shared" si="29"/>
        <v/>
      </c>
      <c r="BD9" t="str">
        <f t="shared" si="30"/>
        <v/>
      </c>
      <c r="BE9" t="str">
        <f t="shared" si="31"/>
        <v/>
      </c>
      <c r="BF9" t="str">
        <f t="shared" si="32"/>
        <v/>
      </c>
      <c r="BG9" t="str">
        <f t="shared" si="33"/>
        <v/>
      </c>
      <c r="BH9" t="str">
        <f t="shared" si="34"/>
        <v/>
      </c>
    </row>
    <row r="10" spans="1:60">
      <c r="A10" t="str">
        <f>发布任务!A10</f>
        <v/>
      </c>
      <c r="B10" t="str">
        <f>IF(A10="","",发布任务!B10)</f>
        <v/>
      </c>
      <c r="C10" t="str">
        <f>IF(A10="","",发布任务!C10)</f>
        <v/>
      </c>
      <c r="D10" t="str">
        <f t="shared" si="3"/>
        <v/>
      </c>
      <c r="E10" t="str">
        <f t="shared" si="4"/>
        <v/>
      </c>
      <c r="F10" t="str">
        <f t="shared" si="5"/>
        <v/>
      </c>
      <c r="G10" t="str">
        <f t="shared" si="6"/>
        <v/>
      </c>
      <c r="H10" t="str">
        <f t="shared" si="7"/>
        <v/>
      </c>
      <c r="I10" t="str">
        <f t="shared" si="8"/>
        <v/>
      </c>
      <c r="J10" t="str">
        <f>IF($A10="","",发布任务!E10)</f>
        <v/>
      </c>
      <c r="K10" t="str">
        <f>IF($A10="","",发布任务!F10)</f>
        <v/>
      </c>
      <c r="L10" t="str">
        <f>IF($A10="","",发布任务!G10)</f>
        <v/>
      </c>
      <c r="Q10" t="str">
        <f>IF($A10="","",VLOOKUP($R10,捏造NPC!$A$28:$I$57,5,FALSE))</f>
        <v/>
      </c>
      <c r="R10" t="str">
        <f>发布任务!$AA10</f>
        <v/>
      </c>
      <c r="S10" t="str">
        <f>IF($A10="","",VLOOKUP($R10,捏造NPC!$A$28:$I$57,6,FALSE))</f>
        <v/>
      </c>
      <c r="T10" t="str">
        <f>IF($A10="","",VLOOKUP($R10,捏造NPC!$A$28:$I$57,7,FALSE))</f>
        <v/>
      </c>
      <c r="U10" t="str">
        <f>IF($A10="","",VLOOKUP($R10,捏造NPC!$A$28:$I$57,8,FALSE))</f>
        <v/>
      </c>
      <c r="V10" t="str">
        <f t="shared" si="0"/>
        <v/>
      </c>
      <c r="W10" t="str">
        <f>IF($A10="","",VLOOKUP($X10,捏造NPC!$A$28:$I$57,5,FALSE))</f>
        <v/>
      </c>
      <c r="X10" t="str">
        <f>发布任务!$AC10</f>
        <v/>
      </c>
      <c r="Y10" t="str">
        <f>IF($A10="","",VLOOKUP($X10,捏造NPC!$A$28:$I$57,6,FALSE))</f>
        <v/>
      </c>
      <c r="Z10" t="str">
        <f>IF($A10="","",VLOOKUP($X10,捏造NPC!$A$28:$I$57,7,FALSE))</f>
        <v/>
      </c>
      <c r="AA10" t="str">
        <f>IF($A10="","",VLOOKUP($X10,捏造NPC!$A$28:$I$57,8,FALSE))</f>
        <v/>
      </c>
      <c r="AB10" t="str">
        <f t="shared" si="1"/>
        <v/>
      </c>
      <c r="AC10" t="str">
        <f>IF($A10="","",VLOOKUP($AD10,捏造NPC!$A$28:$I$57,5,FALSE))</f>
        <v/>
      </c>
      <c r="AD10" t="str">
        <f>发布任务!$AE10</f>
        <v/>
      </c>
      <c r="AE10" t="str">
        <f>IF($A10="","",VLOOKUP($AD10,捏造NPC!$A$28:$I$57,6,FALSE))</f>
        <v/>
      </c>
      <c r="AF10" t="str">
        <f>IF($A10="","",VLOOKUP($AD10,捏造NPC!$A$28:$I$57,7,FALSE))</f>
        <v/>
      </c>
      <c r="AG10" t="str">
        <f>IF($A10="","",VLOOKUP($AD10,捏造NPC!$A$28:$I$57,8,FALSE))</f>
        <v/>
      </c>
      <c r="AH10" t="str">
        <f t="shared" si="2"/>
        <v/>
      </c>
      <c r="AI10" t="str">
        <f t="shared" si="9"/>
        <v/>
      </c>
      <c r="AJ10" t="str">
        <f t="shared" si="10"/>
        <v/>
      </c>
      <c r="AK10" t="str">
        <f t="shared" si="11"/>
        <v/>
      </c>
      <c r="AL10" t="str">
        <f t="shared" si="12"/>
        <v/>
      </c>
      <c r="AM10" t="str">
        <f t="shared" si="13"/>
        <v/>
      </c>
      <c r="AN10" t="str">
        <f t="shared" si="14"/>
        <v/>
      </c>
      <c r="AO10" t="str">
        <f t="shared" si="15"/>
        <v/>
      </c>
      <c r="AP10" t="str">
        <f t="shared" si="16"/>
        <v/>
      </c>
      <c r="AQ10" t="str">
        <f t="shared" si="17"/>
        <v/>
      </c>
      <c r="AR10" t="str">
        <f t="shared" si="18"/>
        <v/>
      </c>
      <c r="AS10" t="str">
        <f t="shared" si="19"/>
        <v/>
      </c>
      <c r="AT10" t="str">
        <f t="shared" si="20"/>
        <v/>
      </c>
      <c r="AU10" t="str">
        <f t="shared" si="21"/>
        <v/>
      </c>
      <c r="AV10" t="str">
        <f t="shared" si="22"/>
        <v/>
      </c>
      <c r="AW10" t="str">
        <f t="shared" si="23"/>
        <v/>
      </c>
      <c r="AX10" t="str">
        <f t="shared" si="24"/>
        <v/>
      </c>
      <c r="AY10" t="str">
        <f t="shared" si="25"/>
        <v/>
      </c>
      <c r="AZ10" t="str">
        <f t="shared" si="26"/>
        <v/>
      </c>
      <c r="BA10" t="str">
        <f t="shared" si="27"/>
        <v/>
      </c>
      <c r="BB10" t="str">
        <f t="shared" si="28"/>
        <v/>
      </c>
      <c r="BC10" t="str">
        <f t="shared" si="29"/>
        <v/>
      </c>
      <c r="BD10" t="str">
        <f t="shared" si="30"/>
        <v/>
      </c>
      <c r="BE10" t="str">
        <f t="shared" si="31"/>
        <v/>
      </c>
      <c r="BF10" t="str">
        <f t="shared" si="32"/>
        <v/>
      </c>
      <c r="BG10" t="str">
        <f t="shared" si="33"/>
        <v/>
      </c>
      <c r="BH10" t="str">
        <f t="shared" si="34"/>
        <v/>
      </c>
    </row>
    <row r="11" spans="1:60">
      <c r="A11" t="str">
        <f>发布任务!A11</f>
        <v/>
      </c>
      <c r="B11" t="str">
        <f>IF(A11="","",发布任务!B11)</f>
        <v/>
      </c>
      <c r="C11" t="str">
        <f>IF(A11="","",发布任务!C11)</f>
        <v/>
      </c>
      <c r="D11" t="str">
        <f t="shared" si="3"/>
        <v/>
      </c>
      <c r="E11" t="str">
        <f t="shared" si="4"/>
        <v/>
      </c>
      <c r="F11" t="str">
        <f t="shared" si="5"/>
        <v/>
      </c>
      <c r="G11" t="str">
        <f t="shared" si="6"/>
        <v/>
      </c>
      <c r="H11" t="str">
        <f t="shared" si="7"/>
        <v/>
      </c>
      <c r="I11" t="str">
        <f t="shared" si="8"/>
        <v/>
      </c>
      <c r="J11" t="str">
        <f>IF($A11="","",发布任务!E11)</f>
        <v/>
      </c>
      <c r="K11" t="str">
        <f>IF($A11="","",发布任务!F11)</f>
        <v/>
      </c>
      <c r="L11" t="str">
        <f>IF($A11="","",发布任务!G11)</f>
        <v/>
      </c>
      <c r="Q11" t="str">
        <f>IF($A11="","",VLOOKUP($R11,捏造NPC!$A$28:$I$57,5,FALSE))</f>
        <v/>
      </c>
      <c r="R11" t="str">
        <f>发布任务!$AA11</f>
        <v/>
      </c>
      <c r="S11" t="str">
        <f>IF($A11="","",VLOOKUP($R11,捏造NPC!$A$28:$I$57,6,FALSE))</f>
        <v/>
      </c>
      <c r="T11" t="str">
        <f>IF($A11="","",VLOOKUP($R11,捏造NPC!$A$28:$I$57,7,FALSE))</f>
        <v/>
      </c>
      <c r="U11" t="str">
        <f>IF($A11="","",VLOOKUP($R11,捏造NPC!$A$28:$I$57,8,FALSE))</f>
        <v/>
      </c>
      <c r="V11" t="str">
        <f t="shared" si="0"/>
        <v/>
      </c>
      <c r="W11" t="str">
        <f>IF($A11="","",VLOOKUP($X11,捏造NPC!$A$28:$I$57,5,FALSE))</f>
        <v/>
      </c>
      <c r="X11" t="str">
        <f>发布任务!$AC11</f>
        <v/>
      </c>
      <c r="Y11" t="str">
        <f>IF($A11="","",VLOOKUP($X11,捏造NPC!$A$28:$I$57,6,FALSE))</f>
        <v/>
      </c>
      <c r="Z11" t="str">
        <f>IF($A11="","",VLOOKUP($X11,捏造NPC!$A$28:$I$57,7,FALSE))</f>
        <v/>
      </c>
      <c r="AA11" t="str">
        <f>IF($A11="","",VLOOKUP($X11,捏造NPC!$A$28:$I$57,8,FALSE))</f>
        <v/>
      </c>
      <c r="AB11" t="str">
        <f t="shared" si="1"/>
        <v/>
      </c>
      <c r="AC11" t="str">
        <f>IF($A11="","",VLOOKUP($AD11,捏造NPC!$A$28:$I$57,5,FALSE))</f>
        <v/>
      </c>
      <c r="AD11" t="str">
        <f>发布任务!$AE11</f>
        <v/>
      </c>
      <c r="AE11" t="str">
        <f>IF($A11="","",VLOOKUP($AD11,捏造NPC!$A$28:$I$57,6,FALSE))</f>
        <v/>
      </c>
      <c r="AF11" t="str">
        <f>IF($A11="","",VLOOKUP($AD11,捏造NPC!$A$28:$I$57,7,FALSE))</f>
        <v/>
      </c>
      <c r="AG11" t="str">
        <f>IF($A11="","",VLOOKUP($AD11,捏造NPC!$A$28:$I$57,8,FALSE))</f>
        <v/>
      </c>
      <c r="AH11" t="str">
        <f t="shared" si="2"/>
        <v/>
      </c>
      <c r="AI11" t="str">
        <f t="shared" si="9"/>
        <v/>
      </c>
      <c r="AJ11" t="str">
        <f t="shared" si="10"/>
        <v/>
      </c>
      <c r="AK11" t="str">
        <f t="shared" si="11"/>
        <v/>
      </c>
      <c r="AL11" t="str">
        <f t="shared" si="12"/>
        <v/>
      </c>
      <c r="AM11" t="str">
        <f t="shared" si="13"/>
        <v/>
      </c>
      <c r="AN11" t="str">
        <f t="shared" si="14"/>
        <v/>
      </c>
      <c r="AO11" t="str">
        <f t="shared" si="15"/>
        <v/>
      </c>
      <c r="AP11" t="str">
        <f t="shared" si="16"/>
        <v/>
      </c>
      <c r="AQ11" t="str">
        <f t="shared" si="17"/>
        <v/>
      </c>
      <c r="AR11" t="str">
        <f t="shared" si="18"/>
        <v/>
      </c>
      <c r="AS11" t="str">
        <f t="shared" si="19"/>
        <v/>
      </c>
      <c r="AT11" t="str">
        <f t="shared" si="20"/>
        <v/>
      </c>
      <c r="AU11" t="str">
        <f t="shared" si="21"/>
        <v/>
      </c>
      <c r="AV11" t="str">
        <f t="shared" si="22"/>
        <v/>
      </c>
      <c r="AW11" t="str">
        <f t="shared" si="23"/>
        <v/>
      </c>
      <c r="AX11" t="str">
        <f t="shared" si="24"/>
        <v/>
      </c>
      <c r="AY11" t="str">
        <f t="shared" si="25"/>
        <v/>
      </c>
      <c r="AZ11" t="str">
        <f t="shared" si="26"/>
        <v/>
      </c>
      <c r="BA11" t="str">
        <f t="shared" si="27"/>
        <v/>
      </c>
      <c r="BB11" t="str">
        <f t="shared" si="28"/>
        <v/>
      </c>
      <c r="BC11" t="str">
        <f t="shared" si="29"/>
        <v/>
      </c>
      <c r="BD11" t="str">
        <f t="shared" si="30"/>
        <v/>
      </c>
      <c r="BE11" t="str">
        <f t="shared" si="31"/>
        <v/>
      </c>
      <c r="BF11" t="str">
        <f t="shared" si="32"/>
        <v/>
      </c>
      <c r="BG11" t="str">
        <f t="shared" si="33"/>
        <v/>
      </c>
      <c r="BH11" t="str">
        <f t="shared" si="34"/>
        <v/>
      </c>
    </row>
    <row r="12" spans="1:60">
      <c r="A12" t="str">
        <f>发布任务!A12</f>
        <v/>
      </c>
      <c r="B12" t="str">
        <f>IF(A12="","",发布任务!B12)</f>
        <v/>
      </c>
      <c r="C12" t="str">
        <f>IF(A12="","",发布任务!C12)</f>
        <v/>
      </c>
      <c r="D12" t="str">
        <f t="shared" si="3"/>
        <v/>
      </c>
      <c r="E12" t="str">
        <f t="shared" si="4"/>
        <v/>
      </c>
      <c r="F12" t="str">
        <f t="shared" si="5"/>
        <v/>
      </c>
      <c r="G12" t="str">
        <f t="shared" si="6"/>
        <v/>
      </c>
      <c r="H12" t="str">
        <f t="shared" si="7"/>
        <v/>
      </c>
      <c r="I12" t="str">
        <f t="shared" si="8"/>
        <v/>
      </c>
      <c r="J12" t="str">
        <f>IF($A12="","",发布任务!E12)</f>
        <v/>
      </c>
      <c r="K12" t="str">
        <f>IF($A12="","",发布任务!F12)</f>
        <v/>
      </c>
      <c r="L12" t="str">
        <f>IF($A12="","",发布任务!G12)</f>
        <v/>
      </c>
      <c r="Q12" t="str">
        <f>IF($A12="","",VLOOKUP($R12,捏造NPC!$A$28:$I$57,5,FALSE))</f>
        <v/>
      </c>
      <c r="R12" t="str">
        <f>发布任务!$AA12</f>
        <v/>
      </c>
      <c r="S12" t="str">
        <f>IF($A12="","",VLOOKUP($R12,捏造NPC!$A$28:$I$57,6,FALSE))</f>
        <v/>
      </c>
      <c r="T12" t="str">
        <f>IF($A12="","",VLOOKUP($R12,捏造NPC!$A$28:$I$57,7,FALSE))</f>
        <v/>
      </c>
      <c r="U12" t="str">
        <f>IF($A12="","",VLOOKUP($R12,捏造NPC!$A$28:$I$57,8,FALSE))</f>
        <v/>
      </c>
      <c r="V12" t="str">
        <f t="shared" si="0"/>
        <v/>
      </c>
      <c r="W12" t="str">
        <f>IF($A12="","",VLOOKUP($X12,捏造NPC!$A$28:$I$57,5,FALSE))</f>
        <v/>
      </c>
      <c r="X12" t="str">
        <f>发布任务!$AC12</f>
        <v/>
      </c>
      <c r="Y12" t="str">
        <f>IF($A12="","",VLOOKUP($X12,捏造NPC!$A$28:$I$57,6,FALSE))</f>
        <v/>
      </c>
      <c r="Z12" t="str">
        <f>IF($A12="","",VLOOKUP($X12,捏造NPC!$A$28:$I$57,7,FALSE))</f>
        <v/>
      </c>
      <c r="AA12" t="str">
        <f>IF($A12="","",VLOOKUP($X12,捏造NPC!$A$28:$I$57,8,FALSE))</f>
        <v/>
      </c>
      <c r="AB12" t="str">
        <f t="shared" si="1"/>
        <v/>
      </c>
      <c r="AC12" t="str">
        <f>IF($A12="","",VLOOKUP($AD12,捏造NPC!$A$28:$I$57,5,FALSE))</f>
        <v/>
      </c>
      <c r="AD12" t="str">
        <f>发布任务!$AE12</f>
        <v/>
      </c>
      <c r="AE12" t="str">
        <f>IF($A12="","",VLOOKUP($AD12,捏造NPC!$A$28:$I$57,6,FALSE))</f>
        <v/>
      </c>
      <c r="AF12" t="str">
        <f>IF($A12="","",VLOOKUP($AD12,捏造NPC!$A$28:$I$57,7,FALSE))</f>
        <v/>
      </c>
      <c r="AG12" t="str">
        <f>IF($A12="","",VLOOKUP($AD12,捏造NPC!$A$28:$I$57,8,FALSE))</f>
        <v/>
      </c>
      <c r="AH12" t="str">
        <f t="shared" si="2"/>
        <v/>
      </c>
      <c r="AI12" t="str">
        <f t="shared" si="9"/>
        <v/>
      </c>
      <c r="AJ12" t="str">
        <f t="shared" si="10"/>
        <v/>
      </c>
      <c r="AK12" t="str">
        <f t="shared" si="11"/>
        <v/>
      </c>
      <c r="AL12" t="str">
        <f t="shared" si="12"/>
        <v/>
      </c>
      <c r="AM12" t="str">
        <f t="shared" si="13"/>
        <v/>
      </c>
      <c r="AN12" t="str">
        <f t="shared" si="14"/>
        <v/>
      </c>
      <c r="AO12" t="str">
        <f t="shared" si="15"/>
        <v/>
      </c>
      <c r="AP12" t="str">
        <f t="shared" si="16"/>
        <v/>
      </c>
      <c r="AQ12" t="str">
        <f t="shared" si="17"/>
        <v/>
      </c>
      <c r="AR12" t="str">
        <f t="shared" si="18"/>
        <v/>
      </c>
      <c r="AS12" t="str">
        <f t="shared" si="19"/>
        <v/>
      </c>
      <c r="AT12" t="str">
        <f t="shared" si="20"/>
        <v/>
      </c>
      <c r="AU12" t="str">
        <f t="shared" si="21"/>
        <v/>
      </c>
      <c r="AV12" t="str">
        <f t="shared" si="22"/>
        <v/>
      </c>
      <c r="AW12" t="str">
        <f t="shared" si="23"/>
        <v/>
      </c>
      <c r="AX12" t="str">
        <f t="shared" si="24"/>
        <v/>
      </c>
      <c r="AY12" t="str">
        <f t="shared" si="25"/>
        <v/>
      </c>
      <c r="AZ12" t="str">
        <f t="shared" si="26"/>
        <v/>
      </c>
      <c r="BA12" t="str">
        <f t="shared" si="27"/>
        <v/>
      </c>
      <c r="BB12" t="str">
        <f t="shared" si="28"/>
        <v/>
      </c>
      <c r="BC12" t="str">
        <f t="shared" si="29"/>
        <v/>
      </c>
      <c r="BD12" t="str">
        <f t="shared" si="30"/>
        <v/>
      </c>
      <c r="BE12" t="str">
        <f t="shared" si="31"/>
        <v/>
      </c>
      <c r="BF12" t="str">
        <f t="shared" si="32"/>
        <v/>
      </c>
      <c r="BG12" t="str">
        <f t="shared" si="33"/>
        <v/>
      </c>
      <c r="BH12" t="str">
        <f t="shared" si="34"/>
        <v/>
      </c>
    </row>
    <row r="13" spans="1:60">
      <c r="A13" t="str">
        <f>发布任务!A13</f>
        <v/>
      </c>
      <c r="B13" t="str">
        <f>IF(A13="","",发布任务!B13)</f>
        <v/>
      </c>
      <c r="C13" t="str">
        <f>IF(A13="","",发布任务!C13)</f>
        <v/>
      </c>
      <c r="D13" t="str">
        <f t="shared" si="3"/>
        <v/>
      </c>
      <c r="E13" t="str">
        <f t="shared" si="4"/>
        <v/>
      </c>
      <c r="F13" t="str">
        <f t="shared" si="5"/>
        <v/>
      </c>
      <c r="G13" t="str">
        <f t="shared" si="6"/>
        <v/>
      </c>
      <c r="H13" t="str">
        <f t="shared" si="7"/>
        <v/>
      </c>
      <c r="I13" t="str">
        <f t="shared" si="8"/>
        <v/>
      </c>
      <c r="J13" t="str">
        <f>IF($A13="","",发布任务!E13)</f>
        <v/>
      </c>
      <c r="K13" t="str">
        <f>IF($A13="","",发布任务!F13)</f>
        <v/>
      </c>
      <c r="L13" t="str">
        <f>IF($A13="","",发布任务!G13)</f>
        <v/>
      </c>
      <c r="Q13" t="str">
        <f>IF($A13="","",VLOOKUP($R13,捏造NPC!$A$28:$I$57,5,FALSE))</f>
        <v/>
      </c>
      <c r="R13" t="str">
        <f>发布任务!$AA13</f>
        <v/>
      </c>
      <c r="S13" t="str">
        <f>IF($A13="","",VLOOKUP($R13,捏造NPC!$A$28:$I$57,6,FALSE))</f>
        <v/>
      </c>
      <c r="T13" t="str">
        <f>IF($A13="","",VLOOKUP($R13,捏造NPC!$A$28:$I$57,7,FALSE))</f>
        <v/>
      </c>
      <c r="U13" t="str">
        <f>IF($A13="","",VLOOKUP($R13,捏造NPC!$A$28:$I$57,8,FALSE))</f>
        <v/>
      </c>
      <c r="V13" t="str">
        <f t="shared" si="0"/>
        <v/>
      </c>
      <c r="W13" t="str">
        <f>IF($A13="","",VLOOKUP($X13,捏造NPC!$A$28:$I$57,5,FALSE))</f>
        <v/>
      </c>
      <c r="X13" t="str">
        <f>发布任务!$AC13</f>
        <v/>
      </c>
      <c r="Y13" t="str">
        <f>IF($A13="","",VLOOKUP($X13,捏造NPC!$A$28:$I$57,6,FALSE))</f>
        <v/>
      </c>
      <c r="Z13" t="str">
        <f>IF($A13="","",VLOOKUP($X13,捏造NPC!$A$28:$I$57,7,FALSE))</f>
        <v/>
      </c>
      <c r="AA13" t="str">
        <f>IF($A13="","",VLOOKUP($X13,捏造NPC!$A$28:$I$57,8,FALSE))</f>
        <v/>
      </c>
      <c r="AB13" t="str">
        <f t="shared" si="1"/>
        <v/>
      </c>
      <c r="AC13" t="str">
        <f>IF($A13="","",VLOOKUP($AD13,捏造NPC!$A$28:$I$57,5,FALSE))</f>
        <v/>
      </c>
      <c r="AD13" t="str">
        <f>发布任务!$AE13</f>
        <v/>
      </c>
      <c r="AE13" t="str">
        <f>IF($A13="","",VLOOKUP($AD13,捏造NPC!$A$28:$I$57,6,FALSE))</f>
        <v/>
      </c>
      <c r="AF13" t="str">
        <f>IF($A13="","",VLOOKUP($AD13,捏造NPC!$A$28:$I$57,7,FALSE))</f>
        <v/>
      </c>
      <c r="AG13" t="str">
        <f>IF($A13="","",VLOOKUP($AD13,捏造NPC!$A$28:$I$57,8,FALSE))</f>
        <v/>
      </c>
      <c r="AH13" t="str">
        <f t="shared" si="2"/>
        <v/>
      </c>
      <c r="AI13" t="str">
        <f t="shared" si="9"/>
        <v/>
      </c>
      <c r="AJ13" t="str">
        <f t="shared" si="10"/>
        <v/>
      </c>
      <c r="AK13" t="str">
        <f t="shared" si="11"/>
        <v/>
      </c>
      <c r="AL13" t="str">
        <f t="shared" si="12"/>
        <v/>
      </c>
      <c r="AM13" t="str">
        <f t="shared" si="13"/>
        <v/>
      </c>
      <c r="AN13" t="str">
        <f t="shared" si="14"/>
        <v/>
      </c>
      <c r="AO13" t="str">
        <f t="shared" si="15"/>
        <v/>
      </c>
      <c r="AP13" t="str">
        <f t="shared" si="16"/>
        <v/>
      </c>
      <c r="AQ13" t="str">
        <f t="shared" si="17"/>
        <v/>
      </c>
      <c r="AR13" t="str">
        <f t="shared" si="18"/>
        <v/>
      </c>
      <c r="AS13" t="str">
        <f t="shared" si="19"/>
        <v/>
      </c>
      <c r="AT13" t="str">
        <f t="shared" si="20"/>
        <v/>
      </c>
      <c r="AU13" t="str">
        <f t="shared" si="21"/>
        <v/>
      </c>
      <c r="AV13" t="str">
        <f t="shared" si="22"/>
        <v/>
      </c>
      <c r="AW13" t="str">
        <f t="shared" si="23"/>
        <v/>
      </c>
      <c r="AX13" t="str">
        <f t="shared" si="24"/>
        <v/>
      </c>
      <c r="AY13" t="str">
        <f t="shared" si="25"/>
        <v/>
      </c>
      <c r="AZ13" t="str">
        <f t="shared" si="26"/>
        <v/>
      </c>
      <c r="BA13" t="str">
        <f t="shared" si="27"/>
        <v/>
      </c>
      <c r="BB13" t="str">
        <f t="shared" si="28"/>
        <v/>
      </c>
      <c r="BC13" t="str">
        <f t="shared" si="29"/>
        <v/>
      </c>
      <c r="BD13" t="str">
        <f t="shared" si="30"/>
        <v/>
      </c>
      <c r="BE13" t="str">
        <f t="shared" si="31"/>
        <v/>
      </c>
      <c r="BF13" t="str">
        <f t="shared" si="32"/>
        <v/>
      </c>
      <c r="BG13" t="str">
        <f t="shared" si="33"/>
        <v/>
      </c>
      <c r="BH13" t="str">
        <f t="shared" si="34"/>
        <v/>
      </c>
    </row>
    <row r="14" spans="1:60">
      <c r="A14" t="str">
        <f>发布任务!A14</f>
        <v/>
      </c>
      <c r="B14" t="str">
        <f>IF(A14="","",发布任务!B14)</f>
        <v/>
      </c>
      <c r="C14" t="str">
        <f>IF(A14="","",发布任务!C14)</f>
        <v/>
      </c>
      <c r="D14" t="str">
        <f t="shared" si="3"/>
        <v/>
      </c>
      <c r="E14" t="str">
        <f t="shared" si="4"/>
        <v/>
      </c>
      <c r="F14" t="str">
        <f t="shared" si="5"/>
        <v/>
      </c>
      <c r="G14" t="str">
        <f t="shared" si="6"/>
        <v/>
      </c>
      <c r="H14" t="str">
        <f t="shared" si="7"/>
        <v/>
      </c>
      <c r="I14" t="str">
        <f t="shared" si="8"/>
        <v/>
      </c>
      <c r="J14" t="str">
        <f>IF($A14="","",发布任务!E14)</f>
        <v/>
      </c>
      <c r="K14" t="str">
        <f>IF($A14="","",发布任务!F14)</f>
        <v/>
      </c>
      <c r="L14" t="str">
        <f>IF($A14="","",发布任务!G14)</f>
        <v/>
      </c>
      <c r="Q14" t="str">
        <f>IF($A14="","",VLOOKUP($R14,捏造NPC!$A$28:$I$57,5,FALSE))</f>
        <v/>
      </c>
      <c r="R14" t="str">
        <f>发布任务!$AA14</f>
        <v/>
      </c>
      <c r="S14" t="str">
        <f>IF($A14="","",VLOOKUP($R14,捏造NPC!$A$28:$I$57,6,FALSE))</f>
        <v/>
      </c>
      <c r="T14" t="str">
        <f>IF($A14="","",VLOOKUP($R14,捏造NPC!$A$28:$I$57,7,FALSE))</f>
        <v/>
      </c>
      <c r="U14" t="str">
        <f>IF($A14="","",VLOOKUP($R14,捏造NPC!$A$28:$I$57,8,FALSE))</f>
        <v/>
      </c>
      <c r="V14" t="str">
        <f t="shared" si="0"/>
        <v/>
      </c>
      <c r="W14" t="str">
        <f>IF($A14="","",VLOOKUP($X14,捏造NPC!$A$28:$I$57,5,FALSE))</f>
        <v/>
      </c>
      <c r="X14" t="str">
        <f>发布任务!$AC14</f>
        <v/>
      </c>
      <c r="Y14" t="str">
        <f>IF($A14="","",VLOOKUP($X14,捏造NPC!$A$28:$I$57,6,FALSE))</f>
        <v/>
      </c>
      <c r="Z14" t="str">
        <f>IF($A14="","",VLOOKUP($X14,捏造NPC!$A$28:$I$57,7,FALSE))</f>
        <v/>
      </c>
      <c r="AA14" t="str">
        <f>IF($A14="","",VLOOKUP($X14,捏造NPC!$A$28:$I$57,8,FALSE))</f>
        <v/>
      </c>
      <c r="AB14" t="str">
        <f t="shared" si="1"/>
        <v/>
      </c>
      <c r="AC14" t="str">
        <f>IF($A14="","",VLOOKUP($AD14,捏造NPC!$A$28:$I$57,5,FALSE))</f>
        <v/>
      </c>
      <c r="AD14" t="str">
        <f>发布任务!$AE14</f>
        <v/>
      </c>
      <c r="AE14" t="str">
        <f>IF($A14="","",VLOOKUP($AD14,捏造NPC!$A$28:$I$57,6,FALSE))</f>
        <v/>
      </c>
      <c r="AF14" t="str">
        <f>IF($A14="","",VLOOKUP($AD14,捏造NPC!$A$28:$I$57,7,FALSE))</f>
        <v/>
      </c>
      <c r="AG14" t="str">
        <f>IF($A14="","",VLOOKUP($AD14,捏造NPC!$A$28:$I$57,8,FALSE))</f>
        <v/>
      </c>
      <c r="AH14" t="str">
        <f t="shared" si="2"/>
        <v/>
      </c>
      <c r="AI14" t="str">
        <f t="shared" si="9"/>
        <v/>
      </c>
      <c r="AJ14" t="str">
        <f t="shared" si="10"/>
        <v/>
      </c>
      <c r="AK14" t="str">
        <f t="shared" si="11"/>
        <v/>
      </c>
      <c r="AL14" t="str">
        <f t="shared" si="12"/>
        <v/>
      </c>
      <c r="AM14" t="str">
        <f t="shared" si="13"/>
        <v/>
      </c>
      <c r="AN14" t="str">
        <f t="shared" si="14"/>
        <v/>
      </c>
      <c r="AO14" t="str">
        <f t="shared" si="15"/>
        <v/>
      </c>
      <c r="AP14" t="str">
        <f t="shared" si="16"/>
        <v/>
      </c>
      <c r="AQ14" t="str">
        <f t="shared" si="17"/>
        <v/>
      </c>
      <c r="AR14" t="str">
        <f t="shared" si="18"/>
        <v/>
      </c>
      <c r="AS14" t="str">
        <f t="shared" si="19"/>
        <v/>
      </c>
      <c r="AT14" t="str">
        <f t="shared" si="20"/>
        <v/>
      </c>
      <c r="AU14" t="str">
        <f t="shared" si="21"/>
        <v/>
      </c>
      <c r="AV14" t="str">
        <f t="shared" si="22"/>
        <v/>
      </c>
      <c r="AW14" t="str">
        <f t="shared" si="23"/>
        <v/>
      </c>
      <c r="AX14" t="str">
        <f t="shared" si="24"/>
        <v/>
      </c>
      <c r="AY14" t="str">
        <f t="shared" si="25"/>
        <v/>
      </c>
      <c r="AZ14" t="str">
        <f t="shared" si="26"/>
        <v/>
      </c>
      <c r="BA14" t="str">
        <f t="shared" si="27"/>
        <v/>
      </c>
      <c r="BB14" t="str">
        <f t="shared" si="28"/>
        <v/>
      </c>
      <c r="BC14" t="str">
        <f t="shared" si="29"/>
        <v/>
      </c>
      <c r="BD14" t="str">
        <f t="shared" si="30"/>
        <v/>
      </c>
      <c r="BE14" t="str">
        <f t="shared" si="31"/>
        <v/>
      </c>
      <c r="BF14" t="str">
        <f t="shared" si="32"/>
        <v/>
      </c>
      <c r="BG14" t="str">
        <f t="shared" si="33"/>
        <v/>
      </c>
      <c r="BH14" t="str">
        <f t="shared" si="34"/>
        <v/>
      </c>
    </row>
    <row r="15" spans="1:60">
      <c r="A15" t="str">
        <f>发布任务!A15</f>
        <v/>
      </c>
      <c r="B15" t="str">
        <f>IF(A15="","",发布任务!B15)</f>
        <v/>
      </c>
      <c r="C15" t="str">
        <f>IF(A15="","",发布任务!C15)</f>
        <v/>
      </c>
      <c r="D15" t="str">
        <f t="shared" si="3"/>
        <v/>
      </c>
      <c r="E15" t="str">
        <f t="shared" si="4"/>
        <v/>
      </c>
      <c r="F15" t="str">
        <f t="shared" si="5"/>
        <v/>
      </c>
      <c r="G15" t="str">
        <f t="shared" si="6"/>
        <v/>
      </c>
      <c r="H15" t="str">
        <f t="shared" si="7"/>
        <v/>
      </c>
      <c r="I15" t="str">
        <f t="shared" si="8"/>
        <v/>
      </c>
      <c r="J15" t="str">
        <f>IF($A15="","",发布任务!E15)</f>
        <v/>
      </c>
      <c r="K15" t="str">
        <f>IF($A15="","",发布任务!F15)</f>
        <v/>
      </c>
      <c r="L15" t="str">
        <f>IF($A15="","",发布任务!G15)</f>
        <v/>
      </c>
      <c r="Q15" t="str">
        <f>IF($A15="","",VLOOKUP($R15,捏造NPC!$A$28:$I$57,5,FALSE))</f>
        <v/>
      </c>
      <c r="R15" t="str">
        <f>发布任务!$AA15</f>
        <v/>
      </c>
      <c r="S15" t="str">
        <f>IF($A15="","",VLOOKUP($R15,捏造NPC!$A$28:$I$57,6,FALSE))</f>
        <v/>
      </c>
      <c r="T15" t="str">
        <f>IF($A15="","",VLOOKUP($R15,捏造NPC!$A$28:$I$57,7,FALSE))</f>
        <v/>
      </c>
      <c r="U15" t="str">
        <f>IF($A15="","",VLOOKUP($R15,捏造NPC!$A$28:$I$57,8,FALSE))</f>
        <v/>
      </c>
      <c r="V15" t="str">
        <f t="shared" si="0"/>
        <v/>
      </c>
      <c r="W15" t="str">
        <f>IF($A15="","",VLOOKUP($X15,捏造NPC!$A$28:$I$57,5,FALSE))</f>
        <v/>
      </c>
      <c r="X15" t="str">
        <f>发布任务!$AC15</f>
        <v/>
      </c>
      <c r="Y15" t="str">
        <f>IF($A15="","",VLOOKUP($X15,捏造NPC!$A$28:$I$57,6,FALSE))</f>
        <v/>
      </c>
      <c r="Z15" t="str">
        <f>IF($A15="","",VLOOKUP($X15,捏造NPC!$A$28:$I$57,7,FALSE))</f>
        <v/>
      </c>
      <c r="AA15" t="str">
        <f>IF($A15="","",VLOOKUP($X15,捏造NPC!$A$28:$I$57,8,FALSE))</f>
        <v/>
      </c>
      <c r="AB15" t="str">
        <f t="shared" si="1"/>
        <v/>
      </c>
      <c r="AC15" t="str">
        <f>IF($A15="","",VLOOKUP($AD15,捏造NPC!$A$28:$I$57,5,FALSE))</f>
        <v/>
      </c>
      <c r="AD15" t="str">
        <f>发布任务!$AE15</f>
        <v/>
      </c>
      <c r="AE15" t="str">
        <f>IF($A15="","",VLOOKUP($AD15,捏造NPC!$A$28:$I$57,6,FALSE))</f>
        <v/>
      </c>
      <c r="AF15" t="str">
        <f>IF($A15="","",VLOOKUP($AD15,捏造NPC!$A$28:$I$57,7,FALSE))</f>
        <v/>
      </c>
      <c r="AG15" t="str">
        <f>IF($A15="","",VLOOKUP($AD15,捏造NPC!$A$28:$I$57,8,FALSE))</f>
        <v/>
      </c>
      <c r="AH15" t="str">
        <f t="shared" si="2"/>
        <v/>
      </c>
      <c r="AI15" t="str">
        <f t="shared" si="9"/>
        <v/>
      </c>
      <c r="AJ15" t="str">
        <f t="shared" si="10"/>
        <v/>
      </c>
      <c r="AK15" t="str">
        <f t="shared" si="11"/>
        <v/>
      </c>
      <c r="AL15" t="str">
        <f t="shared" si="12"/>
        <v/>
      </c>
      <c r="AM15" t="str">
        <f t="shared" si="13"/>
        <v/>
      </c>
      <c r="AN15" t="str">
        <f t="shared" si="14"/>
        <v/>
      </c>
      <c r="AO15" t="str">
        <f t="shared" si="15"/>
        <v/>
      </c>
      <c r="AP15" t="str">
        <f t="shared" si="16"/>
        <v/>
      </c>
      <c r="AQ15" t="str">
        <f t="shared" si="17"/>
        <v/>
      </c>
      <c r="AR15" t="str">
        <f t="shared" si="18"/>
        <v/>
      </c>
      <c r="AS15" t="str">
        <f t="shared" si="19"/>
        <v/>
      </c>
      <c r="AT15" t="str">
        <f t="shared" si="20"/>
        <v/>
      </c>
      <c r="AU15" t="str">
        <f t="shared" si="21"/>
        <v/>
      </c>
      <c r="AV15" t="str">
        <f t="shared" si="22"/>
        <v/>
      </c>
      <c r="AW15" t="str">
        <f t="shared" si="23"/>
        <v/>
      </c>
      <c r="AX15" t="str">
        <f t="shared" si="24"/>
        <v/>
      </c>
      <c r="AY15" t="str">
        <f t="shared" si="25"/>
        <v/>
      </c>
      <c r="AZ15" t="str">
        <f t="shared" si="26"/>
        <v/>
      </c>
      <c r="BA15" t="str">
        <f t="shared" si="27"/>
        <v/>
      </c>
      <c r="BB15" t="str">
        <f t="shared" si="28"/>
        <v/>
      </c>
      <c r="BC15" t="str">
        <f t="shared" si="29"/>
        <v/>
      </c>
      <c r="BD15" t="str">
        <f t="shared" si="30"/>
        <v/>
      </c>
      <c r="BE15" t="str">
        <f t="shared" si="31"/>
        <v/>
      </c>
      <c r="BF15" t="str">
        <f t="shared" si="32"/>
        <v/>
      </c>
      <c r="BG15" t="str">
        <f t="shared" si="33"/>
        <v/>
      </c>
      <c r="BH15" t="str">
        <f t="shared" si="34"/>
        <v/>
      </c>
    </row>
    <row r="16" spans="1:60">
      <c r="A16" t="str">
        <f>发布任务!A16</f>
        <v/>
      </c>
      <c r="B16" t="str">
        <f>IF(A16="","",发布任务!B16)</f>
        <v/>
      </c>
      <c r="C16" t="str">
        <f>IF(A16="","",发布任务!C16)</f>
        <v/>
      </c>
      <c r="D16" t="str">
        <f t="shared" si="3"/>
        <v/>
      </c>
      <c r="E16" t="str">
        <f t="shared" si="4"/>
        <v/>
      </c>
      <c r="F16" t="str">
        <f t="shared" si="5"/>
        <v/>
      </c>
      <c r="G16" t="str">
        <f t="shared" si="6"/>
        <v/>
      </c>
      <c r="H16" t="str">
        <f t="shared" si="7"/>
        <v/>
      </c>
      <c r="I16" t="str">
        <f t="shared" si="8"/>
        <v/>
      </c>
      <c r="J16" t="str">
        <f>IF($A16="","",发布任务!E16)</f>
        <v/>
      </c>
      <c r="K16" t="str">
        <f>IF($A16="","",发布任务!F16)</f>
        <v/>
      </c>
      <c r="L16" t="str">
        <f>IF($A16="","",发布任务!G16)</f>
        <v/>
      </c>
      <c r="Q16" t="str">
        <f>IF($A16="","",VLOOKUP($R16,捏造NPC!$A$28:$I$57,5,FALSE))</f>
        <v/>
      </c>
      <c r="R16" t="str">
        <f>发布任务!$AA16</f>
        <v/>
      </c>
      <c r="S16" t="str">
        <f>IF($A16="","",VLOOKUP($R16,捏造NPC!$A$28:$I$57,6,FALSE))</f>
        <v/>
      </c>
      <c r="T16" t="str">
        <f>IF($A16="","",VLOOKUP($R16,捏造NPC!$A$28:$I$57,7,FALSE))</f>
        <v/>
      </c>
      <c r="U16" t="str">
        <f>IF($A16="","",VLOOKUP($R16,捏造NPC!$A$28:$I$57,8,FALSE))</f>
        <v/>
      </c>
      <c r="V16" t="str">
        <f t="shared" si="0"/>
        <v/>
      </c>
      <c r="W16" t="str">
        <f>IF($A16="","",VLOOKUP($X16,捏造NPC!$A$28:$I$57,5,FALSE))</f>
        <v/>
      </c>
      <c r="X16" t="str">
        <f>发布任务!$AC16</f>
        <v/>
      </c>
      <c r="Y16" t="str">
        <f>IF($A16="","",VLOOKUP($X16,捏造NPC!$A$28:$I$57,6,FALSE))</f>
        <v/>
      </c>
      <c r="Z16" t="str">
        <f>IF($A16="","",VLOOKUP($X16,捏造NPC!$A$28:$I$57,7,FALSE))</f>
        <v/>
      </c>
      <c r="AA16" t="str">
        <f>IF($A16="","",VLOOKUP($X16,捏造NPC!$A$28:$I$57,8,FALSE))</f>
        <v/>
      </c>
      <c r="AB16" t="str">
        <f t="shared" si="1"/>
        <v/>
      </c>
      <c r="AC16" t="str">
        <f>IF($A16="","",VLOOKUP($AD16,捏造NPC!$A$28:$I$57,5,FALSE))</f>
        <v/>
      </c>
      <c r="AD16" t="str">
        <f>发布任务!$AE16</f>
        <v/>
      </c>
      <c r="AE16" t="str">
        <f>IF($A16="","",VLOOKUP($AD16,捏造NPC!$A$28:$I$57,6,FALSE))</f>
        <v/>
      </c>
      <c r="AF16" t="str">
        <f>IF($A16="","",VLOOKUP($AD16,捏造NPC!$A$28:$I$57,7,FALSE))</f>
        <v/>
      </c>
      <c r="AG16" t="str">
        <f>IF($A16="","",VLOOKUP($AD16,捏造NPC!$A$28:$I$57,8,FALSE))</f>
        <v/>
      </c>
      <c r="AH16" t="str">
        <f t="shared" si="2"/>
        <v/>
      </c>
      <c r="AI16" t="str">
        <f t="shared" si="9"/>
        <v/>
      </c>
      <c r="AJ16" t="str">
        <f t="shared" si="10"/>
        <v/>
      </c>
      <c r="AK16" t="str">
        <f t="shared" si="11"/>
        <v/>
      </c>
      <c r="AL16" t="str">
        <f t="shared" si="12"/>
        <v/>
      </c>
      <c r="AM16" t="str">
        <f t="shared" si="13"/>
        <v/>
      </c>
      <c r="AN16" t="str">
        <f t="shared" si="14"/>
        <v/>
      </c>
      <c r="AO16" t="str">
        <f t="shared" si="15"/>
        <v/>
      </c>
      <c r="AP16" t="str">
        <f t="shared" si="16"/>
        <v/>
      </c>
      <c r="AQ16" t="str">
        <f t="shared" si="17"/>
        <v/>
      </c>
      <c r="AR16" t="str">
        <f t="shared" si="18"/>
        <v/>
      </c>
      <c r="AS16" t="str">
        <f t="shared" si="19"/>
        <v/>
      </c>
      <c r="AT16" t="str">
        <f t="shared" si="20"/>
        <v/>
      </c>
      <c r="AU16" t="str">
        <f t="shared" si="21"/>
        <v/>
      </c>
      <c r="AV16" t="str">
        <f t="shared" si="22"/>
        <v/>
      </c>
      <c r="AW16" t="str">
        <f t="shared" si="23"/>
        <v/>
      </c>
      <c r="AX16" t="str">
        <f t="shared" si="24"/>
        <v/>
      </c>
      <c r="AY16" t="str">
        <f t="shared" si="25"/>
        <v/>
      </c>
      <c r="AZ16" t="str">
        <f t="shared" si="26"/>
        <v/>
      </c>
      <c r="BA16" t="str">
        <f t="shared" si="27"/>
        <v/>
      </c>
      <c r="BB16" t="str">
        <f t="shared" si="28"/>
        <v/>
      </c>
      <c r="BC16" t="str">
        <f t="shared" si="29"/>
        <v/>
      </c>
      <c r="BD16" t="str">
        <f t="shared" si="30"/>
        <v/>
      </c>
      <c r="BE16" t="str">
        <f t="shared" si="31"/>
        <v/>
      </c>
      <c r="BF16" t="str">
        <f t="shared" si="32"/>
        <v/>
      </c>
      <c r="BG16" t="str">
        <f t="shared" si="33"/>
        <v/>
      </c>
      <c r="BH16" t="str">
        <f t="shared" si="34"/>
        <v/>
      </c>
    </row>
    <row r="17" spans="1:60">
      <c r="A17" t="str">
        <f>发布任务!A17</f>
        <v/>
      </c>
      <c r="B17" t="str">
        <f>IF(A17="","",发布任务!B17)</f>
        <v/>
      </c>
      <c r="C17" t="str">
        <f>IF(A17="","",发布任务!C17)</f>
        <v/>
      </c>
      <c r="D17" t="str">
        <f t="shared" si="3"/>
        <v/>
      </c>
      <c r="E17" t="str">
        <f t="shared" si="4"/>
        <v/>
      </c>
      <c r="F17" t="str">
        <f t="shared" si="5"/>
        <v/>
      </c>
      <c r="G17" t="str">
        <f t="shared" si="6"/>
        <v/>
      </c>
      <c r="H17" t="str">
        <f t="shared" si="7"/>
        <v/>
      </c>
      <c r="I17" t="str">
        <f t="shared" si="8"/>
        <v/>
      </c>
      <c r="J17" t="str">
        <f>IF($A17="","",发布任务!E17)</f>
        <v/>
      </c>
      <c r="K17" t="str">
        <f>IF($A17="","",发布任务!F17)</f>
        <v/>
      </c>
      <c r="L17" t="str">
        <f>IF($A17="","",发布任务!G17)</f>
        <v/>
      </c>
      <c r="Q17" t="str">
        <f>IF($A17="","",VLOOKUP($R17,捏造NPC!$A$28:$I$57,5,FALSE))</f>
        <v/>
      </c>
      <c r="R17" t="str">
        <f>发布任务!$AA17</f>
        <v/>
      </c>
      <c r="S17" t="str">
        <f>IF($A17="","",VLOOKUP($R17,捏造NPC!$A$28:$I$57,6,FALSE))</f>
        <v/>
      </c>
      <c r="T17" t="str">
        <f>IF($A17="","",VLOOKUP($R17,捏造NPC!$A$28:$I$57,7,FALSE))</f>
        <v/>
      </c>
      <c r="U17" t="str">
        <f>IF($A17="","",VLOOKUP($R17,捏造NPC!$A$28:$I$57,8,FALSE))</f>
        <v/>
      </c>
      <c r="V17" t="str">
        <f t="shared" si="0"/>
        <v/>
      </c>
      <c r="W17" t="str">
        <f>IF($A17="","",VLOOKUP($X17,捏造NPC!$A$28:$I$57,5,FALSE))</f>
        <v/>
      </c>
      <c r="X17" t="str">
        <f>发布任务!$AC17</f>
        <v/>
      </c>
      <c r="Y17" t="str">
        <f>IF($A17="","",VLOOKUP($X17,捏造NPC!$A$28:$I$57,6,FALSE))</f>
        <v/>
      </c>
      <c r="Z17" t="str">
        <f>IF($A17="","",VLOOKUP($X17,捏造NPC!$A$28:$I$57,7,FALSE))</f>
        <v/>
      </c>
      <c r="AA17" t="str">
        <f>IF($A17="","",VLOOKUP($X17,捏造NPC!$A$28:$I$57,8,FALSE))</f>
        <v/>
      </c>
      <c r="AB17" t="str">
        <f t="shared" si="1"/>
        <v/>
      </c>
      <c r="AC17" t="str">
        <f>IF($A17="","",VLOOKUP($AD17,捏造NPC!$A$28:$I$57,5,FALSE))</f>
        <v/>
      </c>
      <c r="AD17" t="str">
        <f>发布任务!$AE17</f>
        <v/>
      </c>
      <c r="AE17" t="str">
        <f>IF($A17="","",VLOOKUP($AD17,捏造NPC!$A$28:$I$57,6,FALSE))</f>
        <v/>
      </c>
      <c r="AF17" t="str">
        <f>IF($A17="","",VLOOKUP($AD17,捏造NPC!$A$28:$I$57,7,FALSE))</f>
        <v/>
      </c>
      <c r="AG17" t="str">
        <f>IF($A17="","",VLOOKUP($AD17,捏造NPC!$A$28:$I$57,8,FALSE))</f>
        <v/>
      </c>
      <c r="AH17" t="str">
        <f t="shared" si="2"/>
        <v/>
      </c>
      <c r="AI17" t="str">
        <f t="shared" si="9"/>
        <v/>
      </c>
      <c r="AJ17" t="str">
        <f t="shared" si="10"/>
        <v/>
      </c>
      <c r="AK17" t="str">
        <f t="shared" si="11"/>
        <v/>
      </c>
      <c r="AL17" t="str">
        <f t="shared" si="12"/>
        <v/>
      </c>
      <c r="AM17" t="str">
        <f t="shared" si="13"/>
        <v/>
      </c>
      <c r="AN17" t="str">
        <f t="shared" si="14"/>
        <v/>
      </c>
      <c r="AO17" t="str">
        <f t="shared" si="15"/>
        <v/>
      </c>
      <c r="AP17" t="str">
        <f t="shared" si="16"/>
        <v/>
      </c>
      <c r="AQ17" t="str">
        <f t="shared" si="17"/>
        <v/>
      </c>
      <c r="AR17" t="str">
        <f t="shared" si="18"/>
        <v/>
      </c>
      <c r="AS17" t="str">
        <f t="shared" si="19"/>
        <v/>
      </c>
      <c r="AT17" t="str">
        <f t="shared" si="20"/>
        <v/>
      </c>
      <c r="AU17" t="str">
        <f t="shared" si="21"/>
        <v/>
      </c>
      <c r="AV17" t="str">
        <f t="shared" si="22"/>
        <v/>
      </c>
      <c r="AW17" t="str">
        <f t="shared" si="23"/>
        <v/>
      </c>
      <c r="AX17" t="str">
        <f t="shared" si="24"/>
        <v/>
      </c>
      <c r="AY17" t="str">
        <f t="shared" si="25"/>
        <v/>
      </c>
      <c r="AZ17" t="str">
        <f t="shared" si="26"/>
        <v/>
      </c>
      <c r="BA17" t="str">
        <f t="shared" si="27"/>
        <v/>
      </c>
      <c r="BB17" t="str">
        <f t="shared" si="28"/>
        <v/>
      </c>
      <c r="BC17" t="str">
        <f t="shared" si="29"/>
        <v/>
      </c>
      <c r="BD17" t="str">
        <f t="shared" si="30"/>
        <v/>
      </c>
      <c r="BE17" t="str">
        <f t="shared" si="31"/>
        <v/>
      </c>
      <c r="BF17" t="str">
        <f t="shared" si="32"/>
        <v/>
      </c>
      <c r="BG17" t="str">
        <f t="shared" si="33"/>
        <v/>
      </c>
      <c r="BH17" t="str">
        <f t="shared" si="34"/>
        <v/>
      </c>
    </row>
    <row r="18" spans="1:60">
      <c r="A18" t="str">
        <f>发布任务!A18</f>
        <v/>
      </c>
      <c r="B18" t="str">
        <f>IF(A18="","",发布任务!B18)</f>
        <v/>
      </c>
      <c r="C18" t="str">
        <f>IF(A18="","",发布任务!C18)</f>
        <v/>
      </c>
      <c r="D18" t="str">
        <f t="shared" si="3"/>
        <v/>
      </c>
      <c r="E18" t="str">
        <f t="shared" si="4"/>
        <v/>
      </c>
      <c r="F18" t="str">
        <f t="shared" si="5"/>
        <v/>
      </c>
      <c r="G18" t="str">
        <f t="shared" si="6"/>
        <v/>
      </c>
      <c r="H18" t="str">
        <f t="shared" si="7"/>
        <v/>
      </c>
      <c r="I18" t="str">
        <f t="shared" si="8"/>
        <v/>
      </c>
      <c r="J18" t="str">
        <f>IF($A18="","",发布任务!E18)</f>
        <v/>
      </c>
      <c r="K18" t="str">
        <f>IF($A18="","",发布任务!F18)</f>
        <v/>
      </c>
      <c r="L18" t="str">
        <f>IF($A18="","",发布任务!G18)</f>
        <v/>
      </c>
      <c r="Q18" t="str">
        <f>IF($A18="","",VLOOKUP($R18,捏造NPC!$A$28:$I$57,5,FALSE))</f>
        <v/>
      </c>
      <c r="R18" t="str">
        <f>发布任务!$AA18</f>
        <v/>
      </c>
      <c r="S18" t="str">
        <f>IF($A18="","",VLOOKUP($R18,捏造NPC!$A$28:$I$57,6,FALSE))</f>
        <v/>
      </c>
      <c r="T18" t="str">
        <f>IF($A18="","",VLOOKUP($R18,捏造NPC!$A$28:$I$57,7,FALSE))</f>
        <v/>
      </c>
      <c r="U18" t="str">
        <f>IF($A18="","",VLOOKUP($R18,捏造NPC!$A$28:$I$57,8,FALSE))</f>
        <v/>
      </c>
      <c r="V18" t="str">
        <f t="shared" si="0"/>
        <v/>
      </c>
      <c r="W18" t="str">
        <f>IF($A18="","",VLOOKUP($X18,捏造NPC!$A$28:$I$57,5,FALSE))</f>
        <v/>
      </c>
      <c r="X18" t="str">
        <f>发布任务!$AC18</f>
        <v/>
      </c>
      <c r="Y18" t="str">
        <f>IF($A18="","",VLOOKUP($X18,捏造NPC!$A$28:$I$57,6,FALSE))</f>
        <v/>
      </c>
      <c r="Z18" t="str">
        <f>IF($A18="","",VLOOKUP($X18,捏造NPC!$A$28:$I$57,7,FALSE))</f>
        <v/>
      </c>
      <c r="AA18" t="str">
        <f>IF($A18="","",VLOOKUP($X18,捏造NPC!$A$28:$I$57,8,FALSE))</f>
        <v/>
      </c>
      <c r="AB18" t="str">
        <f t="shared" si="1"/>
        <v/>
      </c>
      <c r="AC18" t="str">
        <f>IF($A18="","",VLOOKUP($AD18,捏造NPC!$A$28:$I$57,5,FALSE))</f>
        <v/>
      </c>
      <c r="AD18" t="str">
        <f>发布任务!$AE18</f>
        <v/>
      </c>
      <c r="AE18" t="str">
        <f>IF($A18="","",VLOOKUP($AD18,捏造NPC!$A$28:$I$57,6,FALSE))</f>
        <v/>
      </c>
      <c r="AF18" t="str">
        <f>IF($A18="","",VLOOKUP($AD18,捏造NPC!$A$28:$I$57,7,FALSE))</f>
        <v/>
      </c>
      <c r="AG18" t="str">
        <f>IF($A18="","",VLOOKUP($AD18,捏造NPC!$A$28:$I$57,8,FALSE))</f>
        <v/>
      </c>
      <c r="AH18" t="str">
        <f t="shared" si="2"/>
        <v/>
      </c>
      <c r="AI18" t="str">
        <f t="shared" si="9"/>
        <v/>
      </c>
      <c r="AJ18" t="str">
        <f t="shared" si="10"/>
        <v/>
      </c>
      <c r="AK18" t="str">
        <f t="shared" si="11"/>
        <v/>
      </c>
      <c r="AL18" t="str">
        <f t="shared" si="12"/>
        <v/>
      </c>
      <c r="AM18" t="str">
        <f t="shared" si="13"/>
        <v/>
      </c>
      <c r="AN18" t="str">
        <f t="shared" si="14"/>
        <v/>
      </c>
      <c r="AO18" t="str">
        <f t="shared" si="15"/>
        <v/>
      </c>
      <c r="AP18" t="str">
        <f t="shared" si="16"/>
        <v/>
      </c>
      <c r="AQ18" t="str">
        <f t="shared" si="17"/>
        <v/>
      </c>
      <c r="AR18" t="str">
        <f t="shared" si="18"/>
        <v/>
      </c>
      <c r="AS18" t="str">
        <f t="shared" si="19"/>
        <v/>
      </c>
      <c r="AT18" t="str">
        <f t="shared" si="20"/>
        <v/>
      </c>
      <c r="AU18" t="str">
        <f t="shared" si="21"/>
        <v/>
      </c>
      <c r="AV18" t="str">
        <f t="shared" si="22"/>
        <v/>
      </c>
      <c r="AW18" t="str">
        <f t="shared" si="23"/>
        <v/>
      </c>
      <c r="AX18" t="str">
        <f t="shared" si="24"/>
        <v/>
      </c>
      <c r="AY18" t="str">
        <f t="shared" si="25"/>
        <v/>
      </c>
      <c r="AZ18" t="str">
        <f t="shared" si="26"/>
        <v/>
      </c>
      <c r="BA18" t="str">
        <f t="shared" si="27"/>
        <v/>
      </c>
      <c r="BB18" t="str">
        <f t="shared" si="28"/>
        <v/>
      </c>
      <c r="BC18" t="str">
        <f t="shared" si="29"/>
        <v/>
      </c>
      <c r="BD18" t="str">
        <f t="shared" si="30"/>
        <v/>
      </c>
      <c r="BE18" t="str">
        <f t="shared" si="31"/>
        <v/>
      </c>
      <c r="BF18" t="str">
        <f t="shared" si="32"/>
        <v/>
      </c>
      <c r="BG18" t="str">
        <f t="shared" si="33"/>
        <v/>
      </c>
      <c r="BH18" t="str">
        <f t="shared" si="34"/>
        <v/>
      </c>
    </row>
    <row r="19" spans="1:60">
      <c r="A19" t="str">
        <f>发布任务!A19</f>
        <v/>
      </c>
      <c r="B19" t="str">
        <f>IF(A19="","",发布任务!B19)</f>
        <v/>
      </c>
      <c r="C19" t="str">
        <f>IF(A19="","",发布任务!C19)</f>
        <v/>
      </c>
      <c r="D19" t="str">
        <f t="shared" si="3"/>
        <v/>
      </c>
      <c r="E19" t="str">
        <f t="shared" si="4"/>
        <v/>
      </c>
      <c r="F19" t="str">
        <f t="shared" si="5"/>
        <v/>
      </c>
      <c r="G19" t="str">
        <f t="shared" si="6"/>
        <v/>
      </c>
      <c r="H19" t="str">
        <f t="shared" si="7"/>
        <v/>
      </c>
      <c r="I19" t="str">
        <f t="shared" si="8"/>
        <v/>
      </c>
      <c r="J19" t="str">
        <f>IF($A19="","",发布任务!E19)</f>
        <v/>
      </c>
      <c r="K19" t="str">
        <f>IF($A19="","",发布任务!F19)</f>
        <v/>
      </c>
      <c r="L19" t="str">
        <f>IF($A19="","",发布任务!G19)</f>
        <v/>
      </c>
      <c r="Q19" t="str">
        <f>IF($A19="","",VLOOKUP($R19,捏造NPC!$A$28:$I$57,5,FALSE))</f>
        <v/>
      </c>
      <c r="R19" t="str">
        <f>发布任务!$AA19</f>
        <v/>
      </c>
      <c r="S19" t="str">
        <f>IF($A19="","",VLOOKUP($R19,捏造NPC!$A$28:$I$57,6,FALSE))</f>
        <v/>
      </c>
      <c r="T19" t="str">
        <f>IF($A19="","",VLOOKUP($R19,捏造NPC!$A$28:$I$57,7,FALSE))</f>
        <v/>
      </c>
      <c r="U19" t="str">
        <f>IF($A19="","",VLOOKUP($R19,捏造NPC!$A$28:$I$57,8,FALSE))</f>
        <v/>
      </c>
      <c r="V19" t="str">
        <f t="shared" si="0"/>
        <v/>
      </c>
      <c r="W19" t="str">
        <f>IF($A19="","",VLOOKUP($X19,捏造NPC!$A$28:$I$57,5,FALSE))</f>
        <v/>
      </c>
      <c r="X19" t="str">
        <f>发布任务!$AC19</f>
        <v/>
      </c>
      <c r="Y19" t="str">
        <f>IF($A19="","",VLOOKUP($X19,捏造NPC!$A$28:$I$57,6,FALSE))</f>
        <v/>
      </c>
      <c r="Z19" t="str">
        <f>IF($A19="","",VLOOKUP($X19,捏造NPC!$A$28:$I$57,7,FALSE))</f>
        <v/>
      </c>
      <c r="AA19" t="str">
        <f>IF($A19="","",VLOOKUP($X19,捏造NPC!$A$28:$I$57,8,FALSE))</f>
        <v/>
      </c>
      <c r="AB19" t="str">
        <f t="shared" si="1"/>
        <v/>
      </c>
      <c r="AC19" t="str">
        <f>IF($A19="","",VLOOKUP($AD19,捏造NPC!$A$28:$I$57,5,FALSE))</f>
        <v/>
      </c>
      <c r="AD19" t="str">
        <f>发布任务!$AE19</f>
        <v/>
      </c>
      <c r="AE19" t="str">
        <f>IF($A19="","",VLOOKUP($AD19,捏造NPC!$A$28:$I$57,6,FALSE))</f>
        <v/>
      </c>
      <c r="AF19" t="str">
        <f>IF($A19="","",VLOOKUP($AD19,捏造NPC!$A$28:$I$57,7,FALSE))</f>
        <v/>
      </c>
      <c r="AG19" t="str">
        <f>IF($A19="","",VLOOKUP($AD19,捏造NPC!$A$28:$I$57,8,FALSE))</f>
        <v/>
      </c>
      <c r="AH19" t="str">
        <f t="shared" si="2"/>
        <v/>
      </c>
      <c r="AI19" t="str">
        <f t="shared" si="9"/>
        <v/>
      </c>
      <c r="AJ19" t="str">
        <f t="shared" si="10"/>
        <v/>
      </c>
      <c r="AK19" t="str">
        <f t="shared" si="11"/>
        <v/>
      </c>
      <c r="AL19" t="str">
        <f t="shared" si="12"/>
        <v/>
      </c>
      <c r="AM19" t="str">
        <f t="shared" si="13"/>
        <v/>
      </c>
      <c r="AN19" t="str">
        <f t="shared" si="14"/>
        <v/>
      </c>
      <c r="AO19" t="str">
        <f t="shared" si="15"/>
        <v/>
      </c>
      <c r="AP19" t="str">
        <f t="shared" si="16"/>
        <v/>
      </c>
      <c r="AQ19" t="str">
        <f t="shared" si="17"/>
        <v/>
      </c>
      <c r="AR19" t="str">
        <f t="shared" si="18"/>
        <v/>
      </c>
      <c r="AS19" t="str">
        <f t="shared" si="19"/>
        <v/>
      </c>
      <c r="AT19" t="str">
        <f t="shared" si="20"/>
        <v/>
      </c>
      <c r="AU19" t="str">
        <f t="shared" si="21"/>
        <v/>
      </c>
      <c r="AV19" t="str">
        <f t="shared" si="22"/>
        <v/>
      </c>
      <c r="AW19" t="str">
        <f t="shared" si="23"/>
        <v/>
      </c>
      <c r="AX19" t="str">
        <f t="shared" si="24"/>
        <v/>
      </c>
      <c r="AY19" t="str">
        <f t="shared" si="25"/>
        <v/>
      </c>
      <c r="AZ19" t="str">
        <f t="shared" si="26"/>
        <v/>
      </c>
      <c r="BA19" t="str">
        <f t="shared" si="27"/>
        <v/>
      </c>
      <c r="BB19" t="str">
        <f t="shared" si="28"/>
        <v/>
      </c>
      <c r="BC19" t="str">
        <f t="shared" si="29"/>
        <v/>
      </c>
      <c r="BD19" t="str">
        <f t="shared" si="30"/>
        <v/>
      </c>
      <c r="BE19" t="str">
        <f t="shared" si="31"/>
        <v/>
      </c>
      <c r="BF19" t="str">
        <f t="shared" si="32"/>
        <v/>
      </c>
      <c r="BG19" t="str">
        <f t="shared" si="33"/>
        <v/>
      </c>
      <c r="BH19" t="str">
        <f t="shared" si="34"/>
        <v/>
      </c>
    </row>
    <row r="20" spans="1:60">
      <c r="A20" t="str">
        <f>发布任务!A20</f>
        <v/>
      </c>
      <c r="B20" t="str">
        <f>IF(A20="","",发布任务!B20)</f>
        <v/>
      </c>
      <c r="C20" t="str">
        <f>IF(A20="","",发布任务!C20)</f>
        <v/>
      </c>
      <c r="D20" t="str">
        <f t="shared" si="3"/>
        <v/>
      </c>
      <c r="E20" t="str">
        <f t="shared" si="4"/>
        <v/>
      </c>
      <c r="F20" t="str">
        <f t="shared" si="5"/>
        <v/>
      </c>
      <c r="G20" t="str">
        <f t="shared" si="6"/>
        <v/>
      </c>
      <c r="H20" t="str">
        <f t="shared" si="7"/>
        <v/>
      </c>
      <c r="I20" t="str">
        <f t="shared" si="8"/>
        <v/>
      </c>
      <c r="J20" t="str">
        <f>IF($A20="","",发布任务!E20)</f>
        <v/>
      </c>
      <c r="K20" t="str">
        <f>IF($A20="","",发布任务!F20)</f>
        <v/>
      </c>
      <c r="L20" t="str">
        <f>IF($A20="","",发布任务!G20)</f>
        <v/>
      </c>
      <c r="Q20" t="str">
        <f>IF($A20="","",VLOOKUP($R20,捏造NPC!$A$28:$I$57,5,FALSE))</f>
        <v/>
      </c>
      <c r="R20" t="str">
        <f>发布任务!$AA20</f>
        <v/>
      </c>
      <c r="S20" t="str">
        <f>IF($A20="","",VLOOKUP($R20,捏造NPC!$A$28:$I$57,6,FALSE))</f>
        <v/>
      </c>
      <c r="T20" t="str">
        <f>IF($A20="","",VLOOKUP($R20,捏造NPC!$A$28:$I$57,7,FALSE))</f>
        <v/>
      </c>
      <c r="U20" t="str">
        <f>IF($A20="","",VLOOKUP($R20,捏造NPC!$A$28:$I$57,8,FALSE))</f>
        <v/>
      </c>
      <c r="V20" t="str">
        <f t="shared" si="0"/>
        <v/>
      </c>
      <c r="W20" t="str">
        <f>IF($A20="","",VLOOKUP($X20,捏造NPC!$A$28:$I$57,5,FALSE))</f>
        <v/>
      </c>
      <c r="X20" t="str">
        <f>发布任务!$AC20</f>
        <v/>
      </c>
      <c r="Y20" t="str">
        <f>IF($A20="","",VLOOKUP($X20,捏造NPC!$A$28:$I$57,6,FALSE))</f>
        <v/>
      </c>
      <c r="Z20" t="str">
        <f>IF($A20="","",VLOOKUP($X20,捏造NPC!$A$28:$I$57,7,FALSE))</f>
        <v/>
      </c>
      <c r="AA20" t="str">
        <f>IF($A20="","",VLOOKUP($X20,捏造NPC!$A$28:$I$57,8,FALSE))</f>
        <v/>
      </c>
      <c r="AB20" t="str">
        <f t="shared" si="1"/>
        <v/>
      </c>
      <c r="AC20" t="str">
        <f>IF($A20="","",VLOOKUP($AD20,捏造NPC!$A$28:$I$57,5,FALSE))</f>
        <v/>
      </c>
      <c r="AD20" t="str">
        <f>发布任务!$AE20</f>
        <v/>
      </c>
      <c r="AE20" t="str">
        <f>IF($A20="","",VLOOKUP($AD20,捏造NPC!$A$28:$I$57,6,FALSE))</f>
        <v/>
      </c>
      <c r="AF20" t="str">
        <f>IF($A20="","",VLOOKUP($AD20,捏造NPC!$A$28:$I$57,7,FALSE))</f>
        <v/>
      </c>
      <c r="AG20" t="str">
        <f>IF($A20="","",VLOOKUP($AD20,捏造NPC!$A$28:$I$57,8,FALSE))</f>
        <v/>
      </c>
      <c r="AH20" t="str">
        <f t="shared" si="2"/>
        <v/>
      </c>
      <c r="AI20" t="str">
        <f t="shared" si="9"/>
        <v/>
      </c>
      <c r="AJ20" t="str">
        <f t="shared" si="10"/>
        <v/>
      </c>
      <c r="AK20" t="str">
        <f t="shared" si="11"/>
        <v/>
      </c>
      <c r="AL20" t="str">
        <f t="shared" si="12"/>
        <v/>
      </c>
      <c r="AM20" t="str">
        <f t="shared" si="13"/>
        <v/>
      </c>
      <c r="AN20" t="str">
        <f t="shared" si="14"/>
        <v/>
      </c>
      <c r="AO20" t="str">
        <f t="shared" si="15"/>
        <v/>
      </c>
      <c r="AP20" t="str">
        <f t="shared" si="16"/>
        <v/>
      </c>
      <c r="AQ20" t="str">
        <f t="shared" si="17"/>
        <v/>
      </c>
      <c r="AR20" t="str">
        <f t="shared" si="18"/>
        <v/>
      </c>
      <c r="AS20" t="str">
        <f t="shared" si="19"/>
        <v/>
      </c>
      <c r="AT20" t="str">
        <f t="shared" si="20"/>
        <v/>
      </c>
      <c r="AU20" t="str">
        <f t="shared" si="21"/>
        <v/>
      </c>
      <c r="AV20" t="str">
        <f t="shared" si="22"/>
        <v/>
      </c>
      <c r="AW20" t="str">
        <f t="shared" si="23"/>
        <v/>
      </c>
      <c r="AX20" t="str">
        <f t="shared" si="24"/>
        <v/>
      </c>
      <c r="AY20" t="str">
        <f t="shared" si="25"/>
        <v/>
      </c>
      <c r="AZ20" t="str">
        <f t="shared" si="26"/>
        <v/>
      </c>
      <c r="BA20" t="str">
        <f t="shared" si="27"/>
        <v/>
      </c>
      <c r="BB20" t="str">
        <f t="shared" si="28"/>
        <v/>
      </c>
      <c r="BC20" t="str">
        <f t="shared" si="29"/>
        <v/>
      </c>
      <c r="BD20" t="str">
        <f t="shared" si="30"/>
        <v/>
      </c>
      <c r="BE20" t="str">
        <f t="shared" si="31"/>
        <v/>
      </c>
      <c r="BF20" t="str">
        <f t="shared" si="32"/>
        <v/>
      </c>
      <c r="BG20" t="str">
        <f t="shared" si="33"/>
        <v/>
      </c>
      <c r="BH20" t="str">
        <f t="shared" si="34"/>
        <v/>
      </c>
    </row>
    <row r="21" spans="1:60">
      <c r="A21" t="str">
        <f>发布任务!A21</f>
        <v/>
      </c>
      <c r="B21" t="str">
        <f>IF(A21="","",发布任务!B21)</f>
        <v/>
      </c>
      <c r="C21" t="str">
        <f>IF(A21="","",发布任务!C21)</f>
        <v/>
      </c>
      <c r="D21" t="str">
        <f t="shared" si="3"/>
        <v/>
      </c>
      <c r="E21" t="str">
        <f t="shared" si="4"/>
        <v/>
      </c>
      <c r="F21" t="str">
        <f t="shared" si="5"/>
        <v/>
      </c>
      <c r="G21" t="str">
        <f t="shared" si="6"/>
        <v/>
      </c>
      <c r="H21" t="str">
        <f t="shared" si="7"/>
        <v/>
      </c>
      <c r="I21" t="str">
        <f t="shared" si="8"/>
        <v/>
      </c>
      <c r="J21" t="str">
        <f>IF($A21="","",发布任务!E21)</f>
        <v/>
      </c>
      <c r="K21" t="str">
        <f>IF($A21="","",发布任务!F21)</f>
        <v/>
      </c>
      <c r="L21" t="str">
        <f>IF($A21="","",发布任务!G21)</f>
        <v/>
      </c>
      <c r="Q21" t="str">
        <f>IF($A21="","",VLOOKUP($R21,捏造NPC!$A$28:$I$57,5,FALSE))</f>
        <v/>
      </c>
      <c r="R21" t="str">
        <f>发布任务!$AA21</f>
        <v/>
      </c>
      <c r="S21" t="str">
        <f>IF($A21="","",VLOOKUP($R21,捏造NPC!$A$28:$I$57,6,FALSE))</f>
        <v/>
      </c>
      <c r="T21" t="str">
        <f>IF($A21="","",VLOOKUP($R21,捏造NPC!$A$28:$I$57,7,FALSE))</f>
        <v/>
      </c>
      <c r="U21" t="str">
        <f>IF($A21="","",VLOOKUP($R21,捏造NPC!$A$28:$I$57,8,FALSE))</f>
        <v/>
      </c>
      <c r="V21" t="str">
        <f t="shared" si="0"/>
        <v/>
      </c>
      <c r="W21" t="str">
        <f>IF($A21="","",VLOOKUP($X21,捏造NPC!$A$28:$I$57,5,FALSE))</f>
        <v/>
      </c>
      <c r="X21" t="str">
        <f>发布任务!$AC21</f>
        <v/>
      </c>
      <c r="Y21" t="str">
        <f>IF($A21="","",VLOOKUP($X21,捏造NPC!$A$28:$I$57,6,FALSE))</f>
        <v/>
      </c>
      <c r="Z21" t="str">
        <f>IF($A21="","",VLOOKUP($X21,捏造NPC!$A$28:$I$57,7,FALSE))</f>
        <v/>
      </c>
      <c r="AA21" t="str">
        <f>IF($A21="","",VLOOKUP($X21,捏造NPC!$A$28:$I$57,8,FALSE))</f>
        <v/>
      </c>
      <c r="AB21" t="str">
        <f t="shared" si="1"/>
        <v/>
      </c>
      <c r="AC21" t="str">
        <f>IF($A21="","",VLOOKUP($AD21,捏造NPC!$A$28:$I$57,5,FALSE))</f>
        <v/>
      </c>
      <c r="AD21" t="str">
        <f>发布任务!$AE21</f>
        <v/>
      </c>
      <c r="AE21" t="str">
        <f>IF($A21="","",VLOOKUP($AD21,捏造NPC!$A$28:$I$57,6,FALSE))</f>
        <v/>
      </c>
      <c r="AF21" t="str">
        <f>IF($A21="","",VLOOKUP($AD21,捏造NPC!$A$28:$I$57,7,FALSE))</f>
        <v/>
      </c>
      <c r="AG21" t="str">
        <f>IF($A21="","",VLOOKUP($AD21,捏造NPC!$A$28:$I$57,8,FALSE))</f>
        <v/>
      </c>
      <c r="AH21" t="str">
        <f t="shared" si="2"/>
        <v/>
      </c>
      <c r="AI21" t="str">
        <f t="shared" si="9"/>
        <v/>
      </c>
      <c r="AJ21" t="str">
        <f t="shared" si="10"/>
        <v/>
      </c>
      <c r="AK21" t="str">
        <f t="shared" si="11"/>
        <v/>
      </c>
      <c r="AL21" t="str">
        <f t="shared" si="12"/>
        <v/>
      </c>
      <c r="AM21" t="str">
        <f t="shared" si="13"/>
        <v/>
      </c>
      <c r="AN21" t="str">
        <f t="shared" si="14"/>
        <v/>
      </c>
      <c r="AO21" t="str">
        <f t="shared" si="15"/>
        <v/>
      </c>
      <c r="AP21" t="str">
        <f t="shared" si="16"/>
        <v/>
      </c>
      <c r="AQ21" t="str">
        <f t="shared" si="17"/>
        <v/>
      </c>
      <c r="AR21" t="str">
        <f t="shared" si="18"/>
        <v/>
      </c>
      <c r="AS21" t="str">
        <f t="shared" si="19"/>
        <v/>
      </c>
      <c r="AT21" t="str">
        <f t="shared" si="20"/>
        <v/>
      </c>
      <c r="AU21" t="str">
        <f t="shared" si="21"/>
        <v/>
      </c>
      <c r="AV21" t="str">
        <f t="shared" si="22"/>
        <v/>
      </c>
      <c r="AW21" t="str">
        <f t="shared" si="23"/>
        <v/>
      </c>
      <c r="AX21" t="str">
        <f t="shared" si="24"/>
        <v/>
      </c>
      <c r="AY21" t="str">
        <f t="shared" si="25"/>
        <v/>
      </c>
      <c r="AZ21" t="str">
        <f t="shared" si="26"/>
        <v/>
      </c>
      <c r="BA21" t="str">
        <f t="shared" si="27"/>
        <v/>
      </c>
      <c r="BB21" t="str">
        <f t="shared" si="28"/>
        <v/>
      </c>
      <c r="BC21" t="str">
        <f t="shared" si="29"/>
        <v/>
      </c>
      <c r="BD21" t="str">
        <f t="shared" si="30"/>
        <v/>
      </c>
      <c r="BE21" t="str">
        <f t="shared" si="31"/>
        <v/>
      </c>
      <c r="BF21" t="str">
        <f t="shared" si="32"/>
        <v/>
      </c>
      <c r="BG21" t="str">
        <f t="shared" si="33"/>
        <v/>
      </c>
      <c r="BH21" t="str">
        <f t="shared" si="34"/>
        <v/>
      </c>
    </row>
    <row r="22" spans="1:60">
      <c r="A22" t="str">
        <f>发布任务!A22</f>
        <v/>
      </c>
      <c r="B22" t="str">
        <f>IF(A22="","",发布任务!B22)</f>
        <v/>
      </c>
      <c r="C22" t="str">
        <f>IF(A22="","",发布任务!C22)</f>
        <v/>
      </c>
      <c r="D22" t="str">
        <f t="shared" si="3"/>
        <v/>
      </c>
      <c r="E22" t="str">
        <f t="shared" si="4"/>
        <v/>
      </c>
      <c r="F22" t="str">
        <f t="shared" si="5"/>
        <v/>
      </c>
      <c r="G22" t="str">
        <f t="shared" si="6"/>
        <v/>
      </c>
      <c r="H22" t="str">
        <f t="shared" si="7"/>
        <v/>
      </c>
      <c r="I22" t="str">
        <f t="shared" si="8"/>
        <v/>
      </c>
      <c r="J22" t="str">
        <f>IF($A22="","",发布任务!E22)</f>
        <v/>
      </c>
      <c r="K22" t="str">
        <f>IF($A22="","",发布任务!F22)</f>
        <v/>
      </c>
      <c r="L22" t="str">
        <f>IF($A22="","",发布任务!G22)</f>
        <v/>
      </c>
      <c r="Q22" t="str">
        <f>IF($A22="","",VLOOKUP($R22,捏造NPC!$A$28:$I$57,5,FALSE))</f>
        <v/>
      </c>
      <c r="R22" t="str">
        <f>发布任务!$AA22</f>
        <v/>
      </c>
      <c r="S22" t="str">
        <f>IF($A22="","",VLOOKUP($R22,捏造NPC!$A$28:$I$57,6,FALSE))</f>
        <v/>
      </c>
      <c r="T22" t="str">
        <f>IF($A22="","",VLOOKUP($R22,捏造NPC!$A$28:$I$57,7,FALSE))</f>
        <v/>
      </c>
      <c r="U22" t="str">
        <f>IF($A22="","",VLOOKUP($R22,捏造NPC!$A$28:$I$57,8,FALSE))</f>
        <v/>
      </c>
      <c r="V22" t="str">
        <f t="shared" si="0"/>
        <v/>
      </c>
      <c r="W22" t="str">
        <f>IF($A22="","",VLOOKUP($X22,捏造NPC!$A$28:$I$57,5,FALSE))</f>
        <v/>
      </c>
      <c r="X22" t="str">
        <f>发布任务!$AC22</f>
        <v/>
      </c>
      <c r="Y22" t="str">
        <f>IF($A22="","",VLOOKUP($X22,捏造NPC!$A$28:$I$57,6,FALSE))</f>
        <v/>
      </c>
      <c r="Z22" t="str">
        <f>IF($A22="","",VLOOKUP($X22,捏造NPC!$A$28:$I$57,7,FALSE))</f>
        <v/>
      </c>
      <c r="AA22" t="str">
        <f>IF($A22="","",VLOOKUP($X22,捏造NPC!$A$28:$I$57,8,FALSE))</f>
        <v/>
      </c>
      <c r="AB22" t="str">
        <f t="shared" si="1"/>
        <v/>
      </c>
      <c r="AC22" t="str">
        <f>IF($A22="","",VLOOKUP($AD22,捏造NPC!$A$28:$I$57,5,FALSE))</f>
        <v/>
      </c>
      <c r="AD22" t="str">
        <f>发布任务!$AE22</f>
        <v/>
      </c>
      <c r="AE22" t="str">
        <f>IF($A22="","",VLOOKUP($AD22,捏造NPC!$A$28:$I$57,6,FALSE))</f>
        <v/>
      </c>
      <c r="AF22" t="str">
        <f>IF($A22="","",VLOOKUP($AD22,捏造NPC!$A$28:$I$57,7,FALSE))</f>
        <v/>
      </c>
      <c r="AG22" t="str">
        <f>IF($A22="","",VLOOKUP($AD22,捏造NPC!$A$28:$I$57,8,FALSE))</f>
        <v/>
      </c>
      <c r="AH22" t="str">
        <f t="shared" si="2"/>
        <v/>
      </c>
      <c r="AI22" t="str">
        <f t="shared" si="9"/>
        <v/>
      </c>
      <c r="AJ22" t="str">
        <f t="shared" si="10"/>
        <v/>
      </c>
      <c r="AK22" t="str">
        <f t="shared" si="11"/>
        <v/>
      </c>
      <c r="AL22" t="str">
        <f t="shared" si="12"/>
        <v/>
      </c>
      <c r="AM22" t="str">
        <f t="shared" si="13"/>
        <v/>
      </c>
      <c r="AN22" t="str">
        <f t="shared" si="14"/>
        <v/>
      </c>
      <c r="AO22" t="str">
        <f t="shared" si="15"/>
        <v/>
      </c>
      <c r="AP22" t="str">
        <f t="shared" si="16"/>
        <v/>
      </c>
      <c r="AQ22" t="str">
        <f t="shared" si="17"/>
        <v/>
      </c>
      <c r="AR22" t="str">
        <f t="shared" si="18"/>
        <v/>
      </c>
      <c r="AS22" t="str">
        <f t="shared" si="19"/>
        <v/>
      </c>
      <c r="AT22" t="str">
        <f t="shared" si="20"/>
        <v/>
      </c>
      <c r="AU22" t="str">
        <f t="shared" si="21"/>
        <v/>
      </c>
      <c r="AV22" t="str">
        <f t="shared" si="22"/>
        <v/>
      </c>
      <c r="AW22" t="str">
        <f t="shared" si="23"/>
        <v/>
      </c>
      <c r="AX22" t="str">
        <f t="shared" si="24"/>
        <v/>
      </c>
      <c r="AY22" t="str">
        <f t="shared" si="25"/>
        <v/>
      </c>
      <c r="AZ22" t="str">
        <f t="shared" si="26"/>
        <v/>
      </c>
      <c r="BA22" t="str">
        <f t="shared" si="27"/>
        <v/>
      </c>
      <c r="BB22" t="str">
        <f t="shared" si="28"/>
        <v/>
      </c>
      <c r="BC22" t="str">
        <f t="shared" si="29"/>
        <v/>
      </c>
      <c r="BD22" t="str">
        <f t="shared" si="30"/>
        <v/>
      </c>
      <c r="BE22" t="str">
        <f t="shared" si="31"/>
        <v/>
      </c>
      <c r="BF22" t="str">
        <f t="shared" si="32"/>
        <v/>
      </c>
      <c r="BG22" t="str">
        <f t="shared" si="33"/>
        <v/>
      </c>
      <c r="BH22" t="str">
        <f t="shared" si="34"/>
        <v/>
      </c>
    </row>
    <row r="23" spans="1:60">
      <c r="A23" t="str">
        <f>发布任务!A23</f>
        <v/>
      </c>
      <c r="B23" t="str">
        <f>IF(A23="","",发布任务!B23)</f>
        <v/>
      </c>
      <c r="C23" t="str">
        <f>IF(A23="","",发布任务!C23)</f>
        <v/>
      </c>
      <c r="D23" t="str">
        <f t="shared" si="3"/>
        <v/>
      </c>
      <c r="E23" t="str">
        <f t="shared" si="4"/>
        <v/>
      </c>
      <c r="F23" t="str">
        <f t="shared" si="5"/>
        <v/>
      </c>
      <c r="G23" t="str">
        <f t="shared" si="6"/>
        <v/>
      </c>
      <c r="H23" t="str">
        <f t="shared" si="7"/>
        <v/>
      </c>
      <c r="I23" t="str">
        <f t="shared" si="8"/>
        <v/>
      </c>
      <c r="J23" t="str">
        <f>IF($A23="","",发布任务!E23)</f>
        <v/>
      </c>
      <c r="K23" t="str">
        <f>IF($A23="","",发布任务!F23)</f>
        <v/>
      </c>
      <c r="L23" t="str">
        <f>IF($A23="","",发布任务!G23)</f>
        <v/>
      </c>
      <c r="Q23" t="str">
        <f>IF($A23="","",VLOOKUP($R23,捏造NPC!$A$28:$I$57,5,FALSE))</f>
        <v/>
      </c>
      <c r="R23" t="str">
        <f>发布任务!$AA23</f>
        <v/>
      </c>
      <c r="S23" t="str">
        <f>IF($A23="","",VLOOKUP($R23,捏造NPC!$A$28:$I$57,6,FALSE))</f>
        <v/>
      </c>
      <c r="T23" t="str">
        <f>IF($A23="","",VLOOKUP($R23,捏造NPC!$A$28:$I$57,7,FALSE))</f>
        <v/>
      </c>
      <c r="U23" t="str">
        <f>IF($A23="","",VLOOKUP($R23,捏造NPC!$A$28:$I$57,8,FALSE))</f>
        <v/>
      </c>
      <c r="V23" t="str">
        <f t="shared" si="0"/>
        <v/>
      </c>
      <c r="W23" t="str">
        <f>IF($A23="","",VLOOKUP($X23,捏造NPC!$A$28:$I$57,5,FALSE))</f>
        <v/>
      </c>
      <c r="X23" t="str">
        <f>发布任务!$AC23</f>
        <v/>
      </c>
      <c r="Y23" t="str">
        <f>IF($A23="","",VLOOKUP($X23,捏造NPC!$A$28:$I$57,6,FALSE))</f>
        <v/>
      </c>
      <c r="Z23" t="str">
        <f>IF($A23="","",VLOOKUP($X23,捏造NPC!$A$28:$I$57,7,FALSE))</f>
        <v/>
      </c>
      <c r="AA23" t="str">
        <f>IF($A23="","",VLOOKUP($X23,捏造NPC!$A$28:$I$57,8,FALSE))</f>
        <v/>
      </c>
      <c r="AB23" t="str">
        <f t="shared" si="1"/>
        <v/>
      </c>
      <c r="AC23" t="str">
        <f>IF($A23="","",VLOOKUP($AD23,捏造NPC!$A$28:$I$57,5,FALSE))</f>
        <v/>
      </c>
      <c r="AD23" t="str">
        <f>发布任务!$AE23</f>
        <v/>
      </c>
      <c r="AE23" t="str">
        <f>IF($A23="","",VLOOKUP($AD23,捏造NPC!$A$28:$I$57,6,FALSE))</f>
        <v/>
      </c>
      <c r="AF23" t="str">
        <f>IF($A23="","",VLOOKUP($AD23,捏造NPC!$A$28:$I$57,7,FALSE))</f>
        <v/>
      </c>
      <c r="AG23" t="str">
        <f>IF($A23="","",VLOOKUP($AD23,捏造NPC!$A$28:$I$57,8,FALSE))</f>
        <v/>
      </c>
      <c r="AH23" t="str">
        <f t="shared" si="2"/>
        <v/>
      </c>
      <c r="AI23" t="str">
        <f t="shared" si="9"/>
        <v/>
      </c>
      <c r="AJ23" t="str">
        <f t="shared" si="10"/>
        <v/>
      </c>
      <c r="AK23" t="str">
        <f t="shared" si="11"/>
        <v/>
      </c>
      <c r="AL23" t="str">
        <f t="shared" si="12"/>
        <v/>
      </c>
      <c r="AM23" t="str">
        <f t="shared" si="13"/>
        <v/>
      </c>
      <c r="AN23" t="str">
        <f t="shared" si="14"/>
        <v/>
      </c>
      <c r="AO23" t="str">
        <f t="shared" si="15"/>
        <v/>
      </c>
      <c r="AP23" t="str">
        <f t="shared" si="16"/>
        <v/>
      </c>
      <c r="AQ23" t="str">
        <f t="shared" si="17"/>
        <v/>
      </c>
      <c r="AR23" t="str">
        <f t="shared" si="18"/>
        <v/>
      </c>
      <c r="AS23" t="str">
        <f t="shared" si="19"/>
        <v/>
      </c>
      <c r="AT23" t="str">
        <f t="shared" si="20"/>
        <v/>
      </c>
      <c r="AU23" t="str">
        <f t="shared" si="21"/>
        <v/>
      </c>
      <c r="AV23" t="str">
        <f t="shared" si="22"/>
        <v/>
      </c>
      <c r="AW23" t="str">
        <f t="shared" si="23"/>
        <v/>
      </c>
      <c r="AX23" t="str">
        <f t="shared" si="24"/>
        <v/>
      </c>
      <c r="AY23" t="str">
        <f t="shared" si="25"/>
        <v/>
      </c>
      <c r="AZ23" t="str">
        <f t="shared" si="26"/>
        <v/>
      </c>
      <c r="BA23" t="str">
        <f t="shared" si="27"/>
        <v/>
      </c>
      <c r="BB23" t="str">
        <f t="shared" si="28"/>
        <v/>
      </c>
      <c r="BC23" t="str">
        <f t="shared" si="29"/>
        <v/>
      </c>
      <c r="BD23" t="str">
        <f t="shared" si="30"/>
        <v/>
      </c>
      <c r="BE23" t="str">
        <f t="shared" si="31"/>
        <v/>
      </c>
      <c r="BF23" t="str">
        <f t="shared" si="32"/>
        <v/>
      </c>
      <c r="BG23" t="str">
        <f t="shared" si="33"/>
        <v/>
      </c>
      <c r="BH23" t="str">
        <f t="shared" si="34"/>
        <v/>
      </c>
    </row>
    <row r="24" spans="1:60">
      <c r="A24" t="str">
        <f>发布任务!A24</f>
        <v/>
      </c>
      <c r="B24" t="str">
        <f>IF(A24="","",发布任务!B24)</f>
        <v/>
      </c>
      <c r="C24" t="str">
        <f>IF(A24="","",发布任务!C24)</f>
        <v/>
      </c>
      <c r="D24" t="str">
        <f t="shared" si="3"/>
        <v/>
      </c>
      <c r="E24" t="str">
        <f t="shared" si="4"/>
        <v/>
      </c>
      <c r="F24" t="str">
        <f t="shared" si="5"/>
        <v/>
      </c>
      <c r="G24" t="str">
        <f t="shared" si="6"/>
        <v/>
      </c>
      <c r="H24" t="str">
        <f t="shared" si="7"/>
        <v/>
      </c>
      <c r="I24" t="str">
        <f t="shared" si="8"/>
        <v/>
      </c>
      <c r="J24" t="str">
        <f>IF($A24="","",发布任务!E24)</f>
        <v/>
      </c>
      <c r="K24" t="str">
        <f>IF($A24="","",发布任务!F24)</f>
        <v/>
      </c>
      <c r="L24" t="str">
        <f>IF($A24="","",发布任务!G24)</f>
        <v/>
      </c>
      <c r="Q24" t="str">
        <f>IF($A24="","",VLOOKUP($R24,捏造NPC!$A$28:$I$57,5,FALSE))</f>
        <v/>
      </c>
      <c r="R24" t="str">
        <f>发布任务!$AA24</f>
        <v/>
      </c>
      <c r="S24" t="str">
        <f>IF($A24="","",VLOOKUP($R24,捏造NPC!$A$28:$I$57,6,FALSE))</f>
        <v/>
      </c>
      <c r="T24" t="str">
        <f>IF($A24="","",VLOOKUP($R24,捏造NPC!$A$28:$I$57,7,FALSE))</f>
        <v/>
      </c>
      <c r="U24" t="str">
        <f>IF($A24="","",VLOOKUP($R24,捏造NPC!$A$28:$I$57,8,FALSE))</f>
        <v/>
      </c>
      <c r="V24" t="str">
        <f t="shared" si="0"/>
        <v/>
      </c>
      <c r="W24" t="str">
        <f>IF($A24="","",VLOOKUP($X24,捏造NPC!$A$28:$I$57,5,FALSE))</f>
        <v/>
      </c>
      <c r="X24" t="str">
        <f>发布任务!$AC24</f>
        <v/>
      </c>
      <c r="Y24" t="str">
        <f>IF($A24="","",VLOOKUP($X24,捏造NPC!$A$28:$I$57,6,FALSE))</f>
        <v/>
      </c>
      <c r="Z24" t="str">
        <f>IF($A24="","",VLOOKUP($X24,捏造NPC!$A$28:$I$57,7,FALSE))</f>
        <v/>
      </c>
      <c r="AA24" t="str">
        <f>IF($A24="","",VLOOKUP($X24,捏造NPC!$A$28:$I$57,8,FALSE))</f>
        <v/>
      </c>
      <c r="AB24" t="str">
        <f t="shared" si="1"/>
        <v/>
      </c>
      <c r="AC24" t="str">
        <f>IF($A24="","",VLOOKUP($AD24,捏造NPC!$A$28:$I$57,5,FALSE))</f>
        <v/>
      </c>
      <c r="AD24" t="str">
        <f>发布任务!$AE24</f>
        <v/>
      </c>
      <c r="AE24" t="str">
        <f>IF($A24="","",VLOOKUP($AD24,捏造NPC!$A$28:$I$57,6,FALSE))</f>
        <v/>
      </c>
      <c r="AF24" t="str">
        <f>IF($A24="","",VLOOKUP($AD24,捏造NPC!$A$28:$I$57,7,FALSE))</f>
        <v/>
      </c>
      <c r="AG24" t="str">
        <f>IF($A24="","",VLOOKUP($AD24,捏造NPC!$A$28:$I$57,8,FALSE))</f>
        <v/>
      </c>
      <c r="AH24" t="str">
        <f t="shared" si="2"/>
        <v/>
      </c>
      <c r="AI24" t="str">
        <f t="shared" si="9"/>
        <v/>
      </c>
      <c r="AJ24" t="str">
        <f t="shared" si="10"/>
        <v/>
      </c>
      <c r="AK24" t="str">
        <f t="shared" si="11"/>
        <v/>
      </c>
      <c r="AL24" t="str">
        <f t="shared" si="12"/>
        <v/>
      </c>
      <c r="AM24" t="str">
        <f t="shared" si="13"/>
        <v/>
      </c>
      <c r="AN24" t="str">
        <f t="shared" si="14"/>
        <v/>
      </c>
      <c r="AO24" t="str">
        <f t="shared" si="15"/>
        <v/>
      </c>
      <c r="AP24" t="str">
        <f t="shared" si="16"/>
        <v/>
      </c>
      <c r="AQ24" t="str">
        <f t="shared" si="17"/>
        <v/>
      </c>
      <c r="AR24" t="str">
        <f t="shared" si="18"/>
        <v/>
      </c>
      <c r="AS24" t="str">
        <f t="shared" si="19"/>
        <v/>
      </c>
      <c r="AT24" t="str">
        <f t="shared" si="20"/>
        <v/>
      </c>
      <c r="AU24" t="str">
        <f t="shared" si="21"/>
        <v/>
      </c>
      <c r="AV24" t="str">
        <f t="shared" si="22"/>
        <v/>
      </c>
      <c r="AW24" t="str">
        <f t="shared" si="23"/>
        <v/>
      </c>
      <c r="AX24" t="str">
        <f t="shared" si="24"/>
        <v/>
      </c>
      <c r="AY24" t="str">
        <f t="shared" si="25"/>
        <v/>
      </c>
      <c r="AZ24" t="str">
        <f t="shared" si="26"/>
        <v/>
      </c>
      <c r="BA24" t="str">
        <f t="shared" si="27"/>
        <v/>
      </c>
      <c r="BB24" t="str">
        <f t="shared" si="28"/>
        <v/>
      </c>
      <c r="BC24" t="str">
        <f t="shared" si="29"/>
        <v/>
      </c>
      <c r="BD24" t="str">
        <f t="shared" si="30"/>
        <v/>
      </c>
      <c r="BE24" t="str">
        <f t="shared" si="31"/>
        <v/>
      </c>
      <c r="BF24" t="str">
        <f t="shared" si="32"/>
        <v/>
      </c>
      <c r="BG24" t="str">
        <f t="shared" si="33"/>
        <v/>
      </c>
      <c r="BH24" t="str">
        <f t="shared" si="34"/>
        <v/>
      </c>
    </row>
    <row r="26" spans="2:4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</sheetData>
  <pageMargins left="0.75" right="0.75" top="1" bottom="1" header="0.5" footer="0.5"/>
  <headerFooter/>
  <ignoredErrors>
    <ignoredError sqref="F5:H24 AN5:AN24 AT5:AU24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Y24"/>
  <sheetViews>
    <sheetView workbookViewId="0">
      <selection activeCell="J5" sqref="J5"/>
    </sheetView>
  </sheetViews>
  <sheetFormatPr defaultColWidth="9" defaultRowHeight="13.5"/>
  <cols>
    <col min="2" max="2" width="11.875" customWidth="1"/>
  </cols>
  <sheetData>
    <row r="1" spans="1:51">
      <c r="A1" s="1" t="s">
        <v>123</v>
      </c>
      <c r="B1" s="1" t="s">
        <v>124</v>
      </c>
      <c r="C1" s="1" t="s">
        <v>458</v>
      </c>
      <c r="D1" s="1" t="s">
        <v>459</v>
      </c>
      <c r="E1" s="1" t="s">
        <v>460</v>
      </c>
      <c r="F1" s="1" t="s">
        <v>461</v>
      </c>
      <c r="G1" s="1" t="s">
        <v>462</v>
      </c>
      <c r="H1" s="1" t="s">
        <v>463</v>
      </c>
      <c r="I1" s="1" t="s">
        <v>464</v>
      </c>
      <c r="J1" s="1" t="s">
        <v>465</v>
      </c>
      <c r="K1" s="1" t="s">
        <v>466</v>
      </c>
      <c r="L1" s="1" t="s">
        <v>467</v>
      </c>
      <c r="M1" s="1" t="s">
        <v>468</v>
      </c>
      <c r="N1" s="1" t="s">
        <v>469</v>
      </c>
      <c r="O1" s="1" t="s">
        <v>470</v>
      </c>
      <c r="P1" s="1" t="s">
        <v>471</v>
      </c>
      <c r="Q1" s="1" t="s">
        <v>472</v>
      </c>
      <c r="R1" s="1" t="s">
        <v>473</v>
      </c>
      <c r="S1" s="1" t="s">
        <v>474</v>
      </c>
      <c r="T1" s="1" t="s">
        <v>475</v>
      </c>
      <c r="U1" s="1" t="s">
        <v>476</v>
      </c>
      <c r="V1" s="1" t="s">
        <v>477</v>
      </c>
      <c r="W1" s="1" t="s">
        <v>478</v>
      </c>
      <c r="X1" s="1" t="s">
        <v>479</v>
      </c>
      <c r="Y1" s="1" t="s">
        <v>480</v>
      </c>
      <c r="Z1" s="1" t="s">
        <v>481</v>
      </c>
      <c r="AA1" s="1" t="s">
        <v>482</v>
      </c>
      <c r="AB1" s="1" t="s">
        <v>483</v>
      </c>
      <c r="AC1" s="1" t="s">
        <v>484</v>
      </c>
      <c r="AD1" s="1" t="s">
        <v>485</v>
      </c>
      <c r="AE1" s="1" t="s">
        <v>486</v>
      </c>
      <c r="AF1" s="1" t="s">
        <v>487</v>
      </c>
      <c r="AG1" s="1" t="s">
        <v>488</v>
      </c>
      <c r="AH1" s="1" t="s">
        <v>489</v>
      </c>
      <c r="AI1" s="1" t="s">
        <v>490</v>
      </c>
      <c r="AJ1" s="1" t="s">
        <v>491</v>
      </c>
      <c r="AK1" s="1" t="s">
        <v>492</v>
      </c>
      <c r="AL1" s="1" t="s">
        <v>493</v>
      </c>
      <c r="AM1" s="1" t="s">
        <v>494</v>
      </c>
      <c r="AN1" s="1" t="s">
        <v>495</v>
      </c>
      <c r="AO1" s="1" t="s">
        <v>496</v>
      </c>
      <c r="AP1" s="1" t="s">
        <v>497</v>
      </c>
      <c r="AQ1" s="1" t="s">
        <v>498</v>
      </c>
      <c r="AR1" s="1" t="s">
        <v>499</v>
      </c>
      <c r="AS1" s="1" t="s">
        <v>500</v>
      </c>
      <c r="AT1" s="1" t="s">
        <v>501</v>
      </c>
      <c r="AU1" s="1" t="s">
        <v>502</v>
      </c>
      <c r="AV1" s="1" t="s">
        <v>503</v>
      </c>
      <c r="AW1" s="1" t="s">
        <v>504</v>
      </c>
      <c r="AX1" s="1" t="s">
        <v>505</v>
      </c>
      <c r="AY1" s="1" t="s">
        <v>506</v>
      </c>
    </row>
    <row r="2" spans="1:51">
      <c r="A2" s="1" t="s">
        <v>153</v>
      </c>
      <c r="B2" s="1" t="s">
        <v>154</v>
      </c>
      <c r="C2" s="1" t="s">
        <v>153</v>
      </c>
      <c r="D2" s="1" t="s">
        <v>153</v>
      </c>
      <c r="E2" s="1" t="s">
        <v>153</v>
      </c>
      <c r="F2" s="1" t="s">
        <v>153</v>
      </c>
      <c r="G2" s="1" t="s">
        <v>153</v>
      </c>
      <c r="H2" s="1" t="s">
        <v>153</v>
      </c>
      <c r="I2" s="1" t="s">
        <v>153</v>
      </c>
      <c r="J2" s="1" t="s">
        <v>153</v>
      </c>
      <c r="K2" s="1" t="s">
        <v>153</v>
      </c>
      <c r="L2" s="1" t="s">
        <v>153</v>
      </c>
      <c r="M2" s="1" t="s">
        <v>153</v>
      </c>
      <c r="N2" s="1" t="s">
        <v>153</v>
      </c>
      <c r="O2" s="1" t="s">
        <v>153</v>
      </c>
      <c r="P2" s="1" t="s">
        <v>153</v>
      </c>
      <c r="Q2" s="1" t="s">
        <v>153</v>
      </c>
      <c r="R2" s="1" t="s">
        <v>153</v>
      </c>
      <c r="S2" s="1" t="s">
        <v>153</v>
      </c>
      <c r="T2" s="1" t="s">
        <v>153</v>
      </c>
      <c r="U2" s="1" t="s">
        <v>153</v>
      </c>
      <c r="V2" s="1" t="s">
        <v>153</v>
      </c>
      <c r="W2" s="1" t="s">
        <v>153</v>
      </c>
      <c r="X2" s="1" t="s">
        <v>153</v>
      </c>
      <c r="Y2" s="1" t="s">
        <v>153</v>
      </c>
      <c r="Z2" s="1" t="s">
        <v>153</v>
      </c>
      <c r="AA2" s="1" t="s">
        <v>153</v>
      </c>
      <c r="AB2" s="1" t="s">
        <v>153</v>
      </c>
      <c r="AC2" s="1" t="s">
        <v>153</v>
      </c>
      <c r="AD2" s="1" t="s">
        <v>153</v>
      </c>
      <c r="AE2" s="1" t="s">
        <v>153</v>
      </c>
      <c r="AF2" s="1" t="s">
        <v>153</v>
      </c>
      <c r="AG2" s="1" t="s">
        <v>153</v>
      </c>
      <c r="AH2" s="1" t="s">
        <v>153</v>
      </c>
      <c r="AI2" s="1" t="s">
        <v>153</v>
      </c>
      <c r="AJ2" s="1" t="s">
        <v>153</v>
      </c>
      <c r="AK2" s="1" t="s">
        <v>153</v>
      </c>
      <c r="AL2" s="1" t="s">
        <v>153</v>
      </c>
      <c r="AM2" s="1" t="s">
        <v>153</v>
      </c>
      <c r="AN2" s="1" t="s">
        <v>153</v>
      </c>
      <c r="AO2" s="1" t="s">
        <v>153</v>
      </c>
      <c r="AP2" s="1" t="s">
        <v>153</v>
      </c>
      <c r="AQ2" s="1" t="s">
        <v>153</v>
      </c>
      <c r="AR2" s="1" t="s">
        <v>153</v>
      </c>
      <c r="AS2" s="1" t="s">
        <v>153</v>
      </c>
      <c r="AT2" s="1" t="s">
        <v>153</v>
      </c>
      <c r="AU2" s="1" t="s">
        <v>153</v>
      </c>
      <c r="AV2" s="1" t="s">
        <v>153</v>
      </c>
      <c r="AW2" s="1" t="s">
        <v>153</v>
      </c>
      <c r="AX2" s="1" t="s">
        <v>153</v>
      </c>
      <c r="AY2" s="1" t="s">
        <v>153</v>
      </c>
    </row>
    <row r="3" spans="1:51">
      <c r="A3" s="1" t="s">
        <v>507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>
      <c r="A4" s="1" t="s">
        <v>212</v>
      </c>
      <c r="B4" s="1" t="s">
        <v>508</v>
      </c>
      <c r="C4" s="1" t="s">
        <v>509</v>
      </c>
      <c r="D4" s="1" t="s">
        <v>510</v>
      </c>
      <c r="E4" s="1" t="s">
        <v>511</v>
      </c>
      <c r="F4" s="1" t="s">
        <v>512</v>
      </c>
      <c r="G4" s="1" t="s">
        <v>513</v>
      </c>
      <c r="H4" s="1" t="s">
        <v>514</v>
      </c>
      <c r="I4" s="1" t="s">
        <v>515</v>
      </c>
      <c r="J4" s="1" t="s">
        <v>516</v>
      </c>
      <c r="K4" s="1" t="s">
        <v>517</v>
      </c>
      <c r="L4" s="1" t="s">
        <v>518</v>
      </c>
      <c r="M4" s="1" t="s">
        <v>519</v>
      </c>
      <c r="N4" s="1" t="s">
        <v>520</v>
      </c>
      <c r="O4" s="1" t="s">
        <v>521</v>
      </c>
      <c r="P4" s="1" t="s">
        <v>522</v>
      </c>
      <c r="Q4" s="1" t="s">
        <v>523</v>
      </c>
      <c r="R4" s="1" t="s">
        <v>524</v>
      </c>
      <c r="S4" s="1" t="s">
        <v>525</v>
      </c>
      <c r="T4" s="1" t="s">
        <v>526</v>
      </c>
      <c r="U4" s="1" t="s">
        <v>527</v>
      </c>
      <c r="V4" s="1" t="s">
        <v>528</v>
      </c>
      <c r="W4" s="1" t="s">
        <v>529</v>
      </c>
      <c r="X4" s="1" t="s">
        <v>530</v>
      </c>
      <c r="Y4" s="1" t="s">
        <v>531</v>
      </c>
      <c r="Z4" s="1" t="s">
        <v>532</v>
      </c>
      <c r="AA4" s="1" t="s">
        <v>533</v>
      </c>
      <c r="AB4" s="1" t="s">
        <v>534</v>
      </c>
      <c r="AC4" s="1" t="s">
        <v>535</v>
      </c>
      <c r="AD4" s="1" t="s">
        <v>536</v>
      </c>
      <c r="AE4" s="1" t="s">
        <v>537</v>
      </c>
      <c r="AF4" s="1" t="s">
        <v>538</v>
      </c>
      <c r="AG4" s="1" t="s">
        <v>539</v>
      </c>
      <c r="AH4" s="1" t="s">
        <v>540</v>
      </c>
      <c r="AI4" s="1" t="s">
        <v>541</v>
      </c>
      <c r="AJ4" s="1" t="s">
        <v>542</v>
      </c>
      <c r="AK4" s="1" t="s">
        <v>541</v>
      </c>
      <c r="AL4" s="1" t="s">
        <v>542</v>
      </c>
      <c r="AM4" s="1" t="s">
        <v>541</v>
      </c>
      <c r="AN4" s="1" t="s">
        <v>542</v>
      </c>
      <c r="AO4" s="1" t="s">
        <v>541</v>
      </c>
      <c r="AP4" s="1" t="s">
        <v>542</v>
      </c>
      <c r="AQ4" s="1" t="s">
        <v>543</v>
      </c>
      <c r="AR4" s="1" t="s">
        <v>544</v>
      </c>
      <c r="AS4" s="1" t="s">
        <v>545</v>
      </c>
      <c r="AT4" s="1" t="s">
        <v>546</v>
      </c>
      <c r="AU4" s="1" t="s">
        <v>547</v>
      </c>
      <c r="AV4" s="1" t="s">
        <v>548</v>
      </c>
      <c r="AW4" s="1" t="s">
        <v>549</v>
      </c>
      <c r="AX4" s="1" t="s">
        <v>550</v>
      </c>
      <c r="AY4" s="1" t="s">
        <v>551</v>
      </c>
    </row>
    <row r="5" spans="1:51">
      <c r="A5">
        <f>发布任务!A5</f>
        <v>8124</v>
      </c>
      <c r="B5" t="str">
        <f>IF(发布任务!B5="","",发布任务!B5)</f>
        <v>资13-军衔任务</v>
      </c>
      <c r="C5">
        <f>IF($A5="","",0)</f>
        <v>0</v>
      </c>
      <c r="D5">
        <f>IF($A5="","",0)</f>
        <v>0</v>
      </c>
      <c r="E5">
        <f>IF($A5="","",0)</f>
        <v>0</v>
      </c>
      <c r="F5">
        <f>IF($A5="","",0)</f>
        <v>0</v>
      </c>
      <c r="G5">
        <f>IF($A5="","",0)</f>
        <v>0</v>
      </c>
      <c r="H5">
        <f>IF($A5="","",0)</f>
        <v>0</v>
      </c>
      <c r="I5">
        <f>IF($A5="","",-1)</f>
        <v>-1</v>
      </c>
      <c r="J5">
        <f t="shared" ref="J5:AY5" si="0">IF($A5="","",-1)</f>
        <v>-1</v>
      </c>
      <c r="K5">
        <f t="shared" si="0"/>
        <v>-1</v>
      </c>
      <c r="L5">
        <f t="shared" si="0"/>
        <v>-1</v>
      </c>
      <c r="M5">
        <f t="shared" si="0"/>
        <v>-1</v>
      </c>
      <c r="N5">
        <f t="shared" si="0"/>
        <v>-1</v>
      </c>
      <c r="O5">
        <f t="shared" si="0"/>
        <v>-1</v>
      </c>
      <c r="P5">
        <f t="shared" si="0"/>
        <v>-1</v>
      </c>
      <c r="Q5">
        <f t="shared" si="0"/>
        <v>-1</v>
      </c>
      <c r="R5">
        <f t="shared" si="0"/>
        <v>-1</v>
      </c>
      <c r="S5">
        <f t="shared" si="0"/>
        <v>-1</v>
      </c>
      <c r="T5">
        <f t="shared" si="0"/>
        <v>-1</v>
      </c>
      <c r="U5">
        <f t="shared" si="0"/>
        <v>-1</v>
      </c>
      <c r="V5">
        <f t="shared" si="0"/>
        <v>-1</v>
      </c>
      <c r="W5">
        <f t="shared" si="0"/>
        <v>-1</v>
      </c>
      <c r="X5">
        <f t="shared" si="0"/>
        <v>-1</v>
      </c>
      <c r="Y5">
        <f t="shared" si="0"/>
        <v>-1</v>
      </c>
      <c r="Z5">
        <f t="shared" si="0"/>
        <v>-1</v>
      </c>
      <c r="AA5">
        <f t="shared" si="0"/>
        <v>-1</v>
      </c>
      <c r="AB5">
        <f t="shared" si="0"/>
        <v>-1</v>
      </c>
      <c r="AC5">
        <f t="shared" si="0"/>
        <v>-1</v>
      </c>
      <c r="AD5">
        <f t="shared" si="0"/>
        <v>-1</v>
      </c>
      <c r="AE5">
        <f t="shared" si="0"/>
        <v>-1</v>
      </c>
      <c r="AF5">
        <f t="shared" si="0"/>
        <v>-1</v>
      </c>
      <c r="AG5">
        <f t="shared" si="0"/>
        <v>-1</v>
      </c>
      <c r="AH5">
        <f t="shared" si="0"/>
        <v>-1</v>
      </c>
      <c r="AI5">
        <f t="shared" si="0"/>
        <v>-1</v>
      </c>
      <c r="AJ5">
        <f t="shared" si="0"/>
        <v>-1</v>
      </c>
      <c r="AK5">
        <f t="shared" si="0"/>
        <v>-1</v>
      </c>
      <c r="AL5">
        <f t="shared" si="0"/>
        <v>-1</v>
      </c>
      <c r="AM5">
        <f t="shared" si="0"/>
        <v>-1</v>
      </c>
      <c r="AN5">
        <f t="shared" si="0"/>
        <v>-1</v>
      </c>
      <c r="AO5">
        <f t="shared" si="0"/>
        <v>-1</v>
      </c>
      <c r="AP5">
        <f t="shared" si="0"/>
        <v>-1</v>
      </c>
      <c r="AQ5">
        <f t="shared" si="0"/>
        <v>-1</v>
      </c>
      <c r="AR5">
        <f t="shared" si="0"/>
        <v>-1</v>
      </c>
      <c r="AS5">
        <f t="shared" si="0"/>
        <v>-1</v>
      </c>
      <c r="AT5">
        <f t="shared" si="0"/>
        <v>-1</v>
      </c>
      <c r="AU5">
        <f t="shared" si="0"/>
        <v>-1</v>
      </c>
      <c r="AV5">
        <f t="shared" si="0"/>
        <v>-1</v>
      </c>
      <c r="AW5">
        <f t="shared" si="0"/>
        <v>-1</v>
      </c>
      <c r="AX5">
        <f t="shared" si="0"/>
        <v>-1</v>
      </c>
      <c r="AY5">
        <f t="shared" si="0"/>
        <v>-1</v>
      </c>
    </row>
    <row r="6" spans="1:51">
      <c r="A6">
        <f>发布任务!A6</f>
        <v>8125</v>
      </c>
      <c r="B6" t="str">
        <f>IF(发布任务!B6="","",发布任务!B6)</f>
        <v>资14-军衔任务</v>
      </c>
      <c r="C6">
        <f t="shared" ref="C6:C24" si="1">IF($A6="","",0)</f>
        <v>0</v>
      </c>
      <c r="D6">
        <f t="shared" ref="D6:D24" si="2">IF($A6="","",0)</f>
        <v>0</v>
      </c>
      <c r="E6">
        <f t="shared" ref="E6:E24" si="3">IF($A6="","",0)</f>
        <v>0</v>
      </c>
      <c r="F6">
        <f t="shared" ref="F6:F24" si="4">IF($A6="","",0)</f>
        <v>0</v>
      </c>
      <c r="G6">
        <f t="shared" ref="G6:G24" si="5">IF($A6="","",0)</f>
        <v>0</v>
      </c>
      <c r="H6">
        <f t="shared" ref="H6:H24" si="6">IF($A6="","",0)</f>
        <v>0</v>
      </c>
      <c r="I6">
        <f t="shared" ref="I6:I24" si="7">IF($A6="","",-1)</f>
        <v>-1</v>
      </c>
      <c r="J6">
        <f t="shared" ref="J6:J24" si="8">IF($A6="","",-1)</f>
        <v>-1</v>
      </c>
      <c r="K6">
        <f t="shared" ref="K6:K24" si="9">IF($A6="","",-1)</f>
        <v>-1</v>
      </c>
      <c r="L6">
        <f t="shared" ref="L6:L24" si="10">IF($A6="","",-1)</f>
        <v>-1</v>
      </c>
      <c r="M6">
        <f t="shared" ref="M6:M24" si="11">IF($A6="","",-1)</f>
        <v>-1</v>
      </c>
      <c r="N6">
        <f t="shared" ref="N6:N24" si="12">IF($A6="","",-1)</f>
        <v>-1</v>
      </c>
      <c r="O6">
        <f t="shared" ref="O6:O24" si="13">IF($A6="","",-1)</f>
        <v>-1</v>
      </c>
      <c r="P6">
        <f t="shared" ref="P6:P24" si="14">IF($A6="","",-1)</f>
        <v>-1</v>
      </c>
      <c r="Q6">
        <f t="shared" ref="Q6:Q24" si="15">IF($A6="","",-1)</f>
        <v>-1</v>
      </c>
      <c r="R6">
        <f t="shared" ref="R6:R24" si="16">IF($A6="","",-1)</f>
        <v>-1</v>
      </c>
      <c r="S6">
        <f t="shared" ref="S6:S24" si="17">IF($A6="","",-1)</f>
        <v>-1</v>
      </c>
      <c r="T6">
        <f t="shared" ref="T6:T24" si="18">IF($A6="","",-1)</f>
        <v>-1</v>
      </c>
      <c r="U6">
        <f t="shared" ref="U6:U24" si="19">IF($A6="","",-1)</f>
        <v>-1</v>
      </c>
      <c r="V6">
        <f t="shared" ref="V6:V24" si="20">IF($A6="","",-1)</f>
        <v>-1</v>
      </c>
      <c r="W6">
        <f t="shared" ref="W6:W24" si="21">IF($A6="","",-1)</f>
        <v>-1</v>
      </c>
      <c r="X6">
        <f t="shared" ref="X6:X24" si="22">IF($A6="","",-1)</f>
        <v>-1</v>
      </c>
      <c r="Y6">
        <f t="shared" ref="Y6:Y24" si="23">IF($A6="","",-1)</f>
        <v>-1</v>
      </c>
      <c r="Z6">
        <f t="shared" ref="Z6:Z24" si="24">IF($A6="","",-1)</f>
        <v>-1</v>
      </c>
      <c r="AA6">
        <f t="shared" ref="AA6:AA24" si="25">IF($A6="","",-1)</f>
        <v>-1</v>
      </c>
      <c r="AB6">
        <f t="shared" ref="AB6:AB24" si="26">IF($A6="","",-1)</f>
        <v>-1</v>
      </c>
      <c r="AC6">
        <f t="shared" ref="AC6:AC24" si="27">IF($A6="","",-1)</f>
        <v>-1</v>
      </c>
      <c r="AD6">
        <f t="shared" ref="AD6:AD24" si="28">IF($A6="","",-1)</f>
        <v>-1</v>
      </c>
      <c r="AE6">
        <f t="shared" ref="AE6:AE24" si="29">IF($A6="","",-1)</f>
        <v>-1</v>
      </c>
      <c r="AF6">
        <f t="shared" ref="AF6:AF24" si="30">IF($A6="","",-1)</f>
        <v>-1</v>
      </c>
      <c r="AG6">
        <f t="shared" ref="AG6:AG24" si="31">IF($A6="","",-1)</f>
        <v>-1</v>
      </c>
      <c r="AH6">
        <f t="shared" ref="AH6:AH24" si="32">IF($A6="","",-1)</f>
        <v>-1</v>
      </c>
      <c r="AI6">
        <f t="shared" ref="AI6:AI24" si="33">IF($A6="","",-1)</f>
        <v>-1</v>
      </c>
      <c r="AJ6">
        <f t="shared" ref="AJ6:AJ24" si="34">IF($A6="","",-1)</f>
        <v>-1</v>
      </c>
      <c r="AK6">
        <f t="shared" ref="AK6:AK24" si="35">IF($A6="","",-1)</f>
        <v>-1</v>
      </c>
      <c r="AL6">
        <f t="shared" ref="AL6:AL24" si="36">IF($A6="","",-1)</f>
        <v>-1</v>
      </c>
      <c r="AM6">
        <f t="shared" ref="AM6:AM24" si="37">IF($A6="","",-1)</f>
        <v>-1</v>
      </c>
      <c r="AN6">
        <f t="shared" ref="AN6:AN24" si="38">IF($A6="","",-1)</f>
        <v>-1</v>
      </c>
      <c r="AO6">
        <f t="shared" ref="AO6:AO24" si="39">IF($A6="","",-1)</f>
        <v>-1</v>
      </c>
      <c r="AP6">
        <f t="shared" ref="AP6:AP24" si="40">IF($A6="","",-1)</f>
        <v>-1</v>
      </c>
      <c r="AQ6">
        <f t="shared" ref="AQ6:AQ24" si="41">IF($A6="","",-1)</f>
        <v>-1</v>
      </c>
      <c r="AR6">
        <f t="shared" ref="AR6:AR24" si="42">IF($A6="","",-1)</f>
        <v>-1</v>
      </c>
      <c r="AS6">
        <f t="shared" ref="AS6:AS24" si="43">IF($A6="","",-1)</f>
        <v>-1</v>
      </c>
      <c r="AT6">
        <f t="shared" ref="AT6:AT24" si="44">IF($A6="","",-1)</f>
        <v>-1</v>
      </c>
      <c r="AU6">
        <f t="shared" ref="AU6:AU24" si="45">IF($A6="","",-1)</f>
        <v>-1</v>
      </c>
      <c r="AV6">
        <f t="shared" ref="AV6:AV24" si="46">IF($A6="","",-1)</f>
        <v>-1</v>
      </c>
      <c r="AW6">
        <f t="shared" ref="AW6:AW24" si="47">IF($A6="","",-1)</f>
        <v>-1</v>
      </c>
      <c r="AX6">
        <f t="shared" ref="AX6:AX24" si="48">IF($A6="","",-1)</f>
        <v>-1</v>
      </c>
      <c r="AY6">
        <f t="shared" ref="AY6:AY24" si="49">IF($A6="","",-1)</f>
        <v>-1</v>
      </c>
    </row>
    <row r="7" spans="1:51">
      <c r="A7">
        <f>发布任务!A7</f>
        <v>8126</v>
      </c>
      <c r="B7" t="str">
        <f>IF(发布任务!B7="","",发布任务!B7)</f>
        <v>资15-军衔任务</v>
      </c>
      <c r="C7">
        <f t="shared" si="1"/>
        <v>0</v>
      </c>
      <c r="D7">
        <f t="shared" si="2"/>
        <v>0</v>
      </c>
      <c r="E7">
        <f t="shared" si="3"/>
        <v>0</v>
      </c>
      <c r="F7">
        <f t="shared" si="4"/>
        <v>0</v>
      </c>
      <c r="G7">
        <f t="shared" si="5"/>
        <v>0</v>
      </c>
      <c r="H7">
        <f t="shared" si="6"/>
        <v>0</v>
      </c>
      <c r="I7">
        <f t="shared" si="7"/>
        <v>-1</v>
      </c>
      <c r="J7">
        <f t="shared" si="8"/>
        <v>-1</v>
      </c>
      <c r="K7">
        <f t="shared" si="9"/>
        <v>-1</v>
      </c>
      <c r="L7">
        <f t="shared" si="10"/>
        <v>-1</v>
      </c>
      <c r="M7">
        <f t="shared" si="11"/>
        <v>-1</v>
      </c>
      <c r="N7">
        <f t="shared" si="12"/>
        <v>-1</v>
      </c>
      <c r="O7">
        <f t="shared" si="13"/>
        <v>-1</v>
      </c>
      <c r="P7">
        <f t="shared" si="14"/>
        <v>-1</v>
      </c>
      <c r="Q7">
        <f t="shared" si="15"/>
        <v>-1</v>
      </c>
      <c r="R7">
        <f t="shared" si="16"/>
        <v>-1</v>
      </c>
      <c r="S7">
        <f t="shared" si="17"/>
        <v>-1</v>
      </c>
      <c r="T7">
        <f t="shared" si="18"/>
        <v>-1</v>
      </c>
      <c r="U7">
        <f t="shared" si="19"/>
        <v>-1</v>
      </c>
      <c r="V7">
        <f t="shared" si="20"/>
        <v>-1</v>
      </c>
      <c r="W7">
        <f t="shared" si="21"/>
        <v>-1</v>
      </c>
      <c r="X7">
        <f t="shared" si="22"/>
        <v>-1</v>
      </c>
      <c r="Y7">
        <f t="shared" si="23"/>
        <v>-1</v>
      </c>
      <c r="Z7">
        <f t="shared" si="24"/>
        <v>-1</v>
      </c>
      <c r="AA7">
        <f t="shared" si="25"/>
        <v>-1</v>
      </c>
      <c r="AB7">
        <f t="shared" si="26"/>
        <v>-1</v>
      </c>
      <c r="AC7">
        <f t="shared" si="27"/>
        <v>-1</v>
      </c>
      <c r="AD7">
        <f t="shared" si="28"/>
        <v>-1</v>
      </c>
      <c r="AE7">
        <f t="shared" si="29"/>
        <v>-1</v>
      </c>
      <c r="AF7">
        <f t="shared" si="30"/>
        <v>-1</v>
      </c>
      <c r="AG7">
        <f t="shared" si="31"/>
        <v>-1</v>
      </c>
      <c r="AH7">
        <f t="shared" si="32"/>
        <v>-1</v>
      </c>
      <c r="AI7">
        <f t="shared" si="33"/>
        <v>-1</v>
      </c>
      <c r="AJ7">
        <f t="shared" si="34"/>
        <v>-1</v>
      </c>
      <c r="AK7">
        <f t="shared" si="35"/>
        <v>-1</v>
      </c>
      <c r="AL7">
        <f t="shared" si="36"/>
        <v>-1</v>
      </c>
      <c r="AM7">
        <f t="shared" si="37"/>
        <v>-1</v>
      </c>
      <c r="AN7">
        <f t="shared" si="38"/>
        <v>-1</v>
      </c>
      <c r="AO7">
        <f t="shared" si="39"/>
        <v>-1</v>
      </c>
      <c r="AP7">
        <f t="shared" si="40"/>
        <v>-1</v>
      </c>
      <c r="AQ7">
        <f t="shared" si="41"/>
        <v>-1</v>
      </c>
      <c r="AR7">
        <f t="shared" si="42"/>
        <v>-1</v>
      </c>
      <c r="AS7">
        <f t="shared" si="43"/>
        <v>-1</v>
      </c>
      <c r="AT7">
        <f t="shared" si="44"/>
        <v>-1</v>
      </c>
      <c r="AU7">
        <f t="shared" si="45"/>
        <v>-1</v>
      </c>
      <c r="AV7">
        <f t="shared" si="46"/>
        <v>-1</v>
      </c>
      <c r="AW7">
        <f t="shared" si="47"/>
        <v>-1</v>
      </c>
      <c r="AX7">
        <f t="shared" si="48"/>
        <v>-1</v>
      </c>
      <c r="AY7">
        <f t="shared" si="49"/>
        <v>-1</v>
      </c>
    </row>
    <row r="8" spans="1:51">
      <c r="A8" t="str">
        <f>发布任务!A8</f>
        <v/>
      </c>
      <c r="B8" t="str">
        <f>IF(发布任务!B8="","",发布任务!B8)</f>
        <v/>
      </c>
      <c r="C8" t="str">
        <f t="shared" si="1"/>
        <v/>
      </c>
      <c r="D8" t="str">
        <f t="shared" si="2"/>
        <v/>
      </c>
      <c r="E8" t="str">
        <f t="shared" si="3"/>
        <v/>
      </c>
      <c r="F8" t="str">
        <f t="shared" si="4"/>
        <v/>
      </c>
      <c r="G8" t="str">
        <f t="shared" si="5"/>
        <v/>
      </c>
      <c r="H8" t="str">
        <f t="shared" si="6"/>
        <v/>
      </c>
      <c r="I8" t="str">
        <f t="shared" si="7"/>
        <v/>
      </c>
      <c r="J8" t="str">
        <f t="shared" si="8"/>
        <v/>
      </c>
      <c r="K8" t="str">
        <f t="shared" si="9"/>
        <v/>
      </c>
      <c r="L8" t="str">
        <f t="shared" si="10"/>
        <v/>
      </c>
      <c r="M8" t="str">
        <f t="shared" si="11"/>
        <v/>
      </c>
      <c r="N8" t="str">
        <f t="shared" si="12"/>
        <v/>
      </c>
      <c r="O8" t="str">
        <f t="shared" si="13"/>
        <v/>
      </c>
      <c r="P8" t="str">
        <f t="shared" si="14"/>
        <v/>
      </c>
      <c r="Q8" t="str">
        <f t="shared" si="15"/>
        <v/>
      </c>
      <c r="R8" t="str">
        <f t="shared" si="16"/>
        <v/>
      </c>
      <c r="S8" t="str">
        <f t="shared" si="17"/>
        <v/>
      </c>
      <c r="T8" t="str">
        <f t="shared" si="18"/>
        <v/>
      </c>
      <c r="U8" t="str">
        <f t="shared" si="19"/>
        <v/>
      </c>
      <c r="V8" t="str">
        <f t="shared" si="20"/>
        <v/>
      </c>
      <c r="W8" t="str">
        <f t="shared" si="21"/>
        <v/>
      </c>
      <c r="X8" t="str">
        <f t="shared" si="22"/>
        <v/>
      </c>
      <c r="Y8" t="str">
        <f t="shared" si="23"/>
        <v/>
      </c>
      <c r="Z8" t="str">
        <f t="shared" si="24"/>
        <v/>
      </c>
      <c r="AA8" t="str">
        <f t="shared" si="25"/>
        <v/>
      </c>
      <c r="AB8" t="str">
        <f t="shared" si="26"/>
        <v/>
      </c>
      <c r="AC8" t="str">
        <f t="shared" si="27"/>
        <v/>
      </c>
      <c r="AD8" t="str">
        <f t="shared" si="28"/>
        <v/>
      </c>
      <c r="AE8" t="str">
        <f t="shared" si="29"/>
        <v/>
      </c>
      <c r="AF8" t="str">
        <f t="shared" si="30"/>
        <v/>
      </c>
      <c r="AG8" t="str">
        <f t="shared" si="31"/>
        <v/>
      </c>
      <c r="AH8" t="str">
        <f t="shared" si="32"/>
        <v/>
      </c>
      <c r="AI8" t="str">
        <f t="shared" si="33"/>
        <v/>
      </c>
      <c r="AJ8" t="str">
        <f t="shared" si="34"/>
        <v/>
      </c>
      <c r="AK8" t="str">
        <f t="shared" si="35"/>
        <v/>
      </c>
      <c r="AL8" t="str">
        <f t="shared" si="36"/>
        <v/>
      </c>
      <c r="AM8" t="str">
        <f t="shared" si="37"/>
        <v/>
      </c>
      <c r="AN8" t="str">
        <f t="shared" si="38"/>
        <v/>
      </c>
      <c r="AO8" t="str">
        <f t="shared" si="39"/>
        <v/>
      </c>
      <c r="AP8" t="str">
        <f t="shared" si="40"/>
        <v/>
      </c>
      <c r="AQ8" t="str">
        <f t="shared" si="41"/>
        <v/>
      </c>
      <c r="AR8" t="str">
        <f t="shared" si="42"/>
        <v/>
      </c>
      <c r="AS8" t="str">
        <f t="shared" si="43"/>
        <v/>
      </c>
      <c r="AT8" t="str">
        <f t="shared" si="44"/>
        <v/>
      </c>
      <c r="AU8" t="str">
        <f t="shared" si="45"/>
        <v/>
      </c>
      <c r="AV8" t="str">
        <f t="shared" si="46"/>
        <v/>
      </c>
      <c r="AW8" t="str">
        <f t="shared" si="47"/>
        <v/>
      </c>
      <c r="AX8" t="str">
        <f t="shared" si="48"/>
        <v/>
      </c>
      <c r="AY8" t="str">
        <f t="shared" si="49"/>
        <v/>
      </c>
    </row>
    <row r="9" spans="1:51">
      <c r="A9" t="str">
        <f>发布任务!A9</f>
        <v/>
      </c>
      <c r="B9" t="str">
        <f>IF(发布任务!B9="","",发布任务!B9)</f>
        <v/>
      </c>
      <c r="C9" t="str">
        <f t="shared" si="1"/>
        <v/>
      </c>
      <c r="D9" t="str">
        <f t="shared" si="2"/>
        <v/>
      </c>
      <c r="E9" t="str">
        <f t="shared" si="3"/>
        <v/>
      </c>
      <c r="F9" t="str">
        <f t="shared" si="4"/>
        <v/>
      </c>
      <c r="G9" t="str">
        <f t="shared" si="5"/>
        <v/>
      </c>
      <c r="H9" t="str">
        <f t="shared" si="6"/>
        <v/>
      </c>
      <c r="I9" t="str">
        <f t="shared" si="7"/>
        <v/>
      </c>
      <c r="J9" t="str">
        <f t="shared" si="8"/>
        <v/>
      </c>
      <c r="K9" t="str">
        <f t="shared" si="9"/>
        <v/>
      </c>
      <c r="L9" t="str">
        <f t="shared" si="10"/>
        <v/>
      </c>
      <c r="M9" t="str">
        <f t="shared" si="11"/>
        <v/>
      </c>
      <c r="N9" t="str">
        <f t="shared" si="12"/>
        <v/>
      </c>
      <c r="O9" t="str">
        <f t="shared" si="13"/>
        <v/>
      </c>
      <c r="P9" t="str">
        <f t="shared" si="14"/>
        <v/>
      </c>
      <c r="Q9" t="str">
        <f t="shared" si="15"/>
        <v/>
      </c>
      <c r="R9" t="str">
        <f t="shared" si="16"/>
        <v/>
      </c>
      <c r="S9" t="str">
        <f t="shared" si="17"/>
        <v/>
      </c>
      <c r="T9" t="str">
        <f t="shared" si="18"/>
        <v/>
      </c>
      <c r="U9" t="str">
        <f t="shared" si="19"/>
        <v/>
      </c>
      <c r="V9" t="str">
        <f t="shared" si="20"/>
        <v/>
      </c>
      <c r="W9" t="str">
        <f t="shared" si="21"/>
        <v/>
      </c>
      <c r="X9" t="str">
        <f t="shared" si="22"/>
        <v/>
      </c>
      <c r="Y9" t="str">
        <f t="shared" si="23"/>
        <v/>
      </c>
      <c r="Z9" t="str">
        <f t="shared" si="24"/>
        <v/>
      </c>
      <c r="AA9" t="str">
        <f t="shared" si="25"/>
        <v/>
      </c>
      <c r="AB9" t="str">
        <f t="shared" si="26"/>
        <v/>
      </c>
      <c r="AC9" t="str">
        <f t="shared" si="27"/>
        <v/>
      </c>
      <c r="AD9" t="str">
        <f t="shared" si="28"/>
        <v/>
      </c>
      <c r="AE9" t="str">
        <f t="shared" si="29"/>
        <v/>
      </c>
      <c r="AF9" t="str">
        <f t="shared" si="30"/>
        <v/>
      </c>
      <c r="AG9" t="str">
        <f t="shared" si="31"/>
        <v/>
      </c>
      <c r="AH9" t="str">
        <f t="shared" si="32"/>
        <v/>
      </c>
      <c r="AI9" t="str">
        <f t="shared" si="33"/>
        <v/>
      </c>
      <c r="AJ9" t="str">
        <f t="shared" si="34"/>
        <v/>
      </c>
      <c r="AK9" t="str">
        <f t="shared" si="35"/>
        <v/>
      </c>
      <c r="AL9" t="str">
        <f t="shared" si="36"/>
        <v/>
      </c>
      <c r="AM9" t="str">
        <f t="shared" si="37"/>
        <v/>
      </c>
      <c r="AN9" t="str">
        <f t="shared" si="38"/>
        <v/>
      </c>
      <c r="AO9" t="str">
        <f t="shared" si="39"/>
        <v/>
      </c>
      <c r="AP9" t="str">
        <f t="shared" si="40"/>
        <v/>
      </c>
      <c r="AQ9" t="str">
        <f t="shared" si="41"/>
        <v/>
      </c>
      <c r="AR9" t="str">
        <f t="shared" si="42"/>
        <v/>
      </c>
      <c r="AS9" t="str">
        <f t="shared" si="43"/>
        <v/>
      </c>
      <c r="AT9" t="str">
        <f t="shared" si="44"/>
        <v/>
      </c>
      <c r="AU9" t="str">
        <f t="shared" si="45"/>
        <v/>
      </c>
      <c r="AV9" t="str">
        <f t="shared" si="46"/>
        <v/>
      </c>
      <c r="AW9" t="str">
        <f t="shared" si="47"/>
        <v/>
      </c>
      <c r="AX9" t="str">
        <f t="shared" si="48"/>
        <v/>
      </c>
      <c r="AY9" t="str">
        <f t="shared" si="49"/>
        <v/>
      </c>
    </row>
    <row r="10" spans="1:51">
      <c r="A10" t="str">
        <f>发布任务!A10</f>
        <v/>
      </c>
      <c r="B10" t="str">
        <f>IF(发布任务!B10="","",发布任务!B10)</f>
        <v/>
      </c>
      <c r="C10" t="str">
        <f t="shared" si="1"/>
        <v/>
      </c>
      <c r="D10" t="str">
        <f t="shared" si="2"/>
        <v/>
      </c>
      <c r="E10" t="str">
        <f t="shared" si="3"/>
        <v/>
      </c>
      <c r="F10" t="str">
        <f t="shared" si="4"/>
        <v/>
      </c>
      <c r="G10" t="str">
        <f t="shared" si="5"/>
        <v/>
      </c>
      <c r="H10" t="str">
        <f t="shared" si="6"/>
        <v/>
      </c>
      <c r="I10" t="str">
        <f t="shared" si="7"/>
        <v/>
      </c>
      <c r="J10" t="str">
        <f t="shared" si="8"/>
        <v/>
      </c>
      <c r="K10" t="str">
        <f t="shared" si="9"/>
        <v/>
      </c>
      <c r="L10" t="str">
        <f t="shared" si="10"/>
        <v/>
      </c>
      <c r="M10" t="str">
        <f t="shared" si="11"/>
        <v/>
      </c>
      <c r="N10" t="str">
        <f t="shared" si="12"/>
        <v/>
      </c>
      <c r="O10" t="str">
        <f t="shared" si="13"/>
        <v/>
      </c>
      <c r="P10" t="str">
        <f t="shared" si="14"/>
        <v/>
      </c>
      <c r="Q10" t="str">
        <f t="shared" si="15"/>
        <v/>
      </c>
      <c r="R10" t="str">
        <f t="shared" si="16"/>
        <v/>
      </c>
      <c r="S10" t="str">
        <f t="shared" si="17"/>
        <v/>
      </c>
      <c r="T10" t="str">
        <f t="shared" si="18"/>
        <v/>
      </c>
      <c r="U10" t="str">
        <f t="shared" si="19"/>
        <v/>
      </c>
      <c r="V10" t="str">
        <f t="shared" si="20"/>
        <v/>
      </c>
      <c r="W10" t="str">
        <f t="shared" si="21"/>
        <v/>
      </c>
      <c r="X10" t="str">
        <f t="shared" si="22"/>
        <v/>
      </c>
      <c r="Y10" t="str">
        <f t="shared" si="23"/>
        <v/>
      </c>
      <c r="Z10" t="str">
        <f t="shared" si="24"/>
        <v/>
      </c>
      <c r="AA10" t="str">
        <f t="shared" si="25"/>
        <v/>
      </c>
      <c r="AB10" t="str">
        <f t="shared" si="26"/>
        <v/>
      </c>
      <c r="AC10" t="str">
        <f t="shared" si="27"/>
        <v/>
      </c>
      <c r="AD10" t="str">
        <f t="shared" si="28"/>
        <v/>
      </c>
      <c r="AE10" t="str">
        <f t="shared" si="29"/>
        <v/>
      </c>
      <c r="AF10" t="str">
        <f t="shared" si="30"/>
        <v/>
      </c>
      <c r="AG10" t="str">
        <f t="shared" si="31"/>
        <v/>
      </c>
      <c r="AH10" t="str">
        <f t="shared" si="32"/>
        <v/>
      </c>
      <c r="AI10" t="str">
        <f t="shared" si="33"/>
        <v/>
      </c>
      <c r="AJ10" t="str">
        <f t="shared" si="34"/>
        <v/>
      </c>
      <c r="AK10" t="str">
        <f t="shared" si="35"/>
        <v/>
      </c>
      <c r="AL10" t="str">
        <f t="shared" si="36"/>
        <v/>
      </c>
      <c r="AM10" t="str">
        <f t="shared" si="37"/>
        <v/>
      </c>
      <c r="AN10" t="str">
        <f t="shared" si="38"/>
        <v/>
      </c>
      <c r="AO10" t="str">
        <f t="shared" si="39"/>
        <v/>
      </c>
      <c r="AP10" t="str">
        <f t="shared" si="40"/>
        <v/>
      </c>
      <c r="AQ10" t="str">
        <f t="shared" si="41"/>
        <v/>
      </c>
      <c r="AR10" t="str">
        <f t="shared" si="42"/>
        <v/>
      </c>
      <c r="AS10" t="str">
        <f t="shared" si="43"/>
        <v/>
      </c>
      <c r="AT10" t="str">
        <f t="shared" si="44"/>
        <v/>
      </c>
      <c r="AU10" t="str">
        <f t="shared" si="45"/>
        <v/>
      </c>
      <c r="AV10" t="str">
        <f t="shared" si="46"/>
        <v/>
      </c>
      <c r="AW10" t="str">
        <f t="shared" si="47"/>
        <v/>
      </c>
      <c r="AX10" t="str">
        <f t="shared" si="48"/>
        <v/>
      </c>
      <c r="AY10" t="str">
        <f t="shared" si="49"/>
        <v/>
      </c>
    </row>
    <row r="11" spans="1:51">
      <c r="A11" t="str">
        <f>发布任务!A11</f>
        <v/>
      </c>
      <c r="B11" t="str">
        <f>IF(发布任务!B11="","",发布任务!B11)</f>
        <v/>
      </c>
      <c r="C11" t="str">
        <f t="shared" si="1"/>
        <v/>
      </c>
      <c r="D11" t="str">
        <f t="shared" si="2"/>
        <v/>
      </c>
      <c r="E11" t="str">
        <f t="shared" si="3"/>
        <v/>
      </c>
      <c r="F11" t="str">
        <f t="shared" si="4"/>
        <v/>
      </c>
      <c r="G11" t="str">
        <f t="shared" si="5"/>
        <v/>
      </c>
      <c r="H11" t="str">
        <f t="shared" si="6"/>
        <v/>
      </c>
      <c r="I11" t="str">
        <f t="shared" si="7"/>
        <v/>
      </c>
      <c r="J11" t="str">
        <f t="shared" si="8"/>
        <v/>
      </c>
      <c r="K11" t="str">
        <f t="shared" si="9"/>
        <v/>
      </c>
      <c r="L11" t="str">
        <f t="shared" si="10"/>
        <v/>
      </c>
      <c r="M11" t="str">
        <f t="shared" si="11"/>
        <v/>
      </c>
      <c r="N11" t="str">
        <f t="shared" si="12"/>
        <v/>
      </c>
      <c r="O11" t="str">
        <f t="shared" si="13"/>
        <v/>
      </c>
      <c r="P11" t="str">
        <f t="shared" si="14"/>
        <v/>
      </c>
      <c r="Q11" t="str">
        <f t="shared" si="15"/>
        <v/>
      </c>
      <c r="R11" t="str">
        <f t="shared" si="16"/>
        <v/>
      </c>
      <c r="S11" t="str">
        <f t="shared" si="17"/>
        <v/>
      </c>
      <c r="T11" t="str">
        <f t="shared" si="18"/>
        <v/>
      </c>
      <c r="U11" t="str">
        <f t="shared" si="19"/>
        <v/>
      </c>
      <c r="V11" t="str">
        <f t="shared" si="20"/>
        <v/>
      </c>
      <c r="W11" t="str">
        <f t="shared" si="21"/>
        <v/>
      </c>
      <c r="X11" t="str">
        <f t="shared" si="22"/>
        <v/>
      </c>
      <c r="Y11" t="str">
        <f t="shared" si="23"/>
        <v/>
      </c>
      <c r="Z11" t="str">
        <f t="shared" si="24"/>
        <v/>
      </c>
      <c r="AA11" t="str">
        <f t="shared" si="25"/>
        <v/>
      </c>
      <c r="AB11" t="str">
        <f t="shared" si="26"/>
        <v/>
      </c>
      <c r="AC11" t="str">
        <f t="shared" si="27"/>
        <v/>
      </c>
      <c r="AD11" t="str">
        <f t="shared" si="28"/>
        <v/>
      </c>
      <c r="AE11" t="str">
        <f t="shared" si="29"/>
        <v/>
      </c>
      <c r="AF11" t="str">
        <f t="shared" si="30"/>
        <v/>
      </c>
      <c r="AG11" t="str">
        <f t="shared" si="31"/>
        <v/>
      </c>
      <c r="AH11" t="str">
        <f t="shared" si="32"/>
        <v/>
      </c>
      <c r="AI11" t="str">
        <f t="shared" si="33"/>
        <v/>
      </c>
      <c r="AJ11" t="str">
        <f t="shared" si="34"/>
        <v/>
      </c>
      <c r="AK11" t="str">
        <f t="shared" si="35"/>
        <v/>
      </c>
      <c r="AL11" t="str">
        <f t="shared" si="36"/>
        <v/>
      </c>
      <c r="AM11" t="str">
        <f t="shared" si="37"/>
        <v/>
      </c>
      <c r="AN11" t="str">
        <f t="shared" si="38"/>
        <v/>
      </c>
      <c r="AO11" t="str">
        <f t="shared" si="39"/>
        <v/>
      </c>
      <c r="AP11" t="str">
        <f t="shared" si="40"/>
        <v/>
      </c>
      <c r="AQ11" t="str">
        <f t="shared" si="41"/>
        <v/>
      </c>
      <c r="AR11" t="str">
        <f t="shared" si="42"/>
        <v/>
      </c>
      <c r="AS11" t="str">
        <f t="shared" si="43"/>
        <v/>
      </c>
      <c r="AT11" t="str">
        <f t="shared" si="44"/>
        <v/>
      </c>
      <c r="AU11" t="str">
        <f t="shared" si="45"/>
        <v/>
      </c>
      <c r="AV11" t="str">
        <f t="shared" si="46"/>
        <v/>
      </c>
      <c r="AW11" t="str">
        <f t="shared" si="47"/>
        <v/>
      </c>
      <c r="AX11" t="str">
        <f t="shared" si="48"/>
        <v/>
      </c>
      <c r="AY11" t="str">
        <f t="shared" si="49"/>
        <v/>
      </c>
    </row>
    <row r="12" spans="1:51">
      <c r="A12" t="str">
        <f>发布任务!A12</f>
        <v/>
      </c>
      <c r="B12" t="str">
        <f>IF(发布任务!B12="","",发布任务!B12)</f>
        <v/>
      </c>
      <c r="C12" t="str">
        <f t="shared" si="1"/>
        <v/>
      </c>
      <c r="D12" t="str">
        <f t="shared" si="2"/>
        <v/>
      </c>
      <c r="E12" t="str">
        <f t="shared" si="3"/>
        <v/>
      </c>
      <c r="F12" t="str">
        <f t="shared" si="4"/>
        <v/>
      </c>
      <c r="G12" t="str">
        <f t="shared" si="5"/>
        <v/>
      </c>
      <c r="H12" t="str">
        <f t="shared" si="6"/>
        <v/>
      </c>
      <c r="I12" t="str">
        <f t="shared" si="7"/>
        <v/>
      </c>
      <c r="J12" t="str">
        <f t="shared" si="8"/>
        <v/>
      </c>
      <c r="K12" t="str">
        <f t="shared" si="9"/>
        <v/>
      </c>
      <c r="L12" t="str">
        <f t="shared" si="10"/>
        <v/>
      </c>
      <c r="M12" t="str">
        <f t="shared" si="11"/>
        <v/>
      </c>
      <c r="N12" t="str">
        <f t="shared" si="12"/>
        <v/>
      </c>
      <c r="O12" t="str">
        <f t="shared" si="13"/>
        <v/>
      </c>
      <c r="P12" t="str">
        <f t="shared" si="14"/>
        <v/>
      </c>
      <c r="Q12" t="str">
        <f t="shared" si="15"/>
        <v/>
      </c>
      <c r="R12" t="str">
        <f t="shared" si="16"/>
        <v/>
      </c>
      <c r="S12" t="str">
        <f t="shared" si="17"/>
        <v/>
      </c>
      <c r="T12" t="str">
        <f t="shared" si="18"/>
        <v/>
      </c>
      <c r="U12" t="str">
        <f t="shared" si="19"/>
        <v/>
      </c>
      <c r="V12" t="str">
        <f t="shared" si="20"/>
        <v/>
      </c>
      <c r="W12" t="str">
        <f t="shared" si="21"/>
        <v/>
      </c>
      <c r="X12" t="str">
        <f t="shared" si="22"/>
        <v/>
      </c>
      <c r="Y12" t="str">
        <f t="shared" si="23"/>
        <v/>
      </c>
      <c r="Z12" t="str">
        <f t="shared" si="24"/>
        <v/>
      </c>
      <c r="AA12" t="str">
        <f t="shared" si="25"/>
        <v/>
      </c>
      <c r="AB12" t="str">
        <f t="shared" si="26"/>
        <v/>
      </c>
      <c r="AC12" t="str">
        <f t="shared" si="27"/>
        <v/>
      </c>
      <c r="AD12" t="str">
        <f t="shared" si="28"/>
        <v/>
      </c>
      <c r="AE12" t="str">
        <f t="shared" si="29"/>
        <v/>
      </c>
      <c r="AF12" t="str">
        <f t="shared" si="30"/>
        <v/>
      </c>
      <c r="AG12" t="str">
        <f t="shared" si="31"/>
        <v/>
      </c>
      <c r="AH12" t="str">
        <f t="shared" si="32"/>
        <v/>
      </c>
      <c r="AI12" t="str">
        <f t="shared" si="33"/>
        <v/>
      </c>
      <c r="AJ12" t="str">
        <f t="shared" si="34"/>
        <v/>
      </c>
      <c r="AK12" t="str">
        <f t="shared" si="35"/>
        <v/>
      </c>
      <c r="AL12" t="str">
        <f t="shared" si="36"/>
        <v/>
      </c>
      <c r="AM12" t="str">
        <f t="shared" si="37"/>
        <v/>
      </c>
      <c r="AN12" t="str">
        <f t="shared" si="38"/>
        <v/>
      </c>
      <c r="AO12" t="str">
        <f t="shared" si="39"/>
        <v/>
      </c>
      <c r="AP12" t="str">
        <f t="shared" si="40"/>
        <v/>
      </c>
      <c r="AQ12" t="str">
        <f t="shared" si="41"/>
        <v/>
      </c>
      <c r="AR12" t="str">
        <f t="shared" si="42"/>
        <v/>
      </c>
      <c r="AS12" t="str">
        <f t="shared" si="43"/>
        <v/>
      </c>
      <c r="AT12" t="str">
        <f t="shared" si="44"/>
        <v/>
      </c>
      <c r="AU12" t="str">
        <f t="shared" si="45"/>
        <v/>
      </c>
      <c r="AV12" t="str">
        <f t="shared" si="46"/>
        <v/>
      </c>
      <c r="AW12" t="str">
        <f t="shared" si="47"/>
        <v/>
      </c>
      <c r="AX12" t="str">
        <f t="shared" si="48"/>
        <v/>
      </c>
      <c r="AY12" t="str">
        <f t="shared" si="49"/>
        <v/>
      </c>
    </row>
    <row r="13" spans="1:51">
      <c r="A13" t="str">
        <f>发布任务!A13</f>
        <v/>
      </c>
      <c r="B13" t="str">
        <f>IF(发布任务!B13="","",发布任务!B13)</f>
        <v/>
      </c>
      <c r="C13" t="str">
        <f t="shared" si="1"/>
        <v/>
      </c>
      <c r="D13" t="str">
        <f t="shared" si="2"/>
        <v/>
      </c>
      <c r="E13" t="str">
        <f t="shared" si="3"/>
        <v/>
      </c>
      <c r="F13" t="str">
        <f t="shared" si="4"/>
        <v/>
      </c>
      <c r="G13" t="str">
        <f t="shared" si="5"/>
        <v/>
      </c>
      <c r="H13" t="str">
        <f t="shared" si="6"/>
        <v/>
      </c>
      <c r="I13" t="str">
        <f t="shared" si="7"/>
        <v/>
      </c>
      <c r="J13" t="str">
        <f t="shared" si="8"/>
        <v/>
      </c>
      <c r="K13" t="str">
        <f t="shared" si="9"/>
        <v/>
      </c>
      <c r="L13" t="str">
        <f t="shared" si="10"/>
        <v/>
      </c>
      <c r="M13" t="str">
        <f t="shared" si="11"/>
        <v/>
      </c>
      <c r="N13" t="str">
        <f t="shared" si="12"/>
        <v/>
      </c>
      <c r="O13" t="str">
        <f t="shared" si="13"/>
        <v/>
      </c>
      <c r="P13" t="str">
        <f t="shared" si="14"/>
        <v/>
      </c>
      <c r="Q13" t="str">
        <f t="shared" si="15"/>
        <v/>
      </c>
      <c r="R13" t="str">
        <f t="shared" si="16"/>
        <v/>
      </c>
      <c r="S13" t="str">
        <f t="shared" si="17"/>
        <v/>
      </c>
      <c r="T13" t="str">
        <f t="shared" si="18"/>
        <v/>
      </c>
      <c r="U13" t="str">
        <f t="shared" si="19"/>
        <v/>
      </c>
      <c r="V13" t="str">
        <f t="shared" si="20"/>
        <v/>
      </c>
      <c r="W13" t="str">
        <f t="shared" si="21"/>
        <v/>
      </c>
      <c r="X13" t="str">
        <f t="shared" si="22"/>
        <v/>
      </c>
      <c r="Y13" t="str">
        <f t="shared" si="23"/>
        <v/>
      </c>
      <c r="Z13" t="str">
        <f t="shared" si="24"/>
        <v/>
      </c>
      <c r="AA13" t="str">
        <f t="shared" si="25"/>
        <v/>
      </c>
      <c r="AB13" t="str">
        <f t="shared" si="26"/>
        <v/>
      </c>
      <c r="AC13" t="str">
        <f t="shared" si="27"/>
        <v/>
      </c>
      <c r="AD13" t="str">
        <f t="shared" si="28"/>
        <v/>
      </c>
      <c r="AE13" t="str">
        <f t="shared" si="29"/>
        <v/>
      </c>
      <c r="AF13" t="str">
        <f t="shared" si="30"/>
        <v/>
      </c>
      <c r="AG13" t="str">
        <f t="shared" si="31"/>
        <v/>
      </c>
      <c r="AH13" t="str">
        <f t="shared" si="32"/>
        <v/>
      </c>
      <c r="AI13" t="str">
        <f t="shared" si="33"/>
        <v/>
      </c>
      <c r="AJ13" t="str">
        <f t="shared" si="34"/>
        <v/>
      </c>
      <c r="AK13" t="str">
        <f t="shared" si="35"/>
        <v/>
      </c>
      <c r="AL13" t="str">
        <f t="shared" si="36"/>
        <v/>
      </c>
      <c r="AM13" t="str">
        <f t="shared" si="37"/>
        <v/>
      </c>
      <c r="AN13" t="str">
        <f t="shared" si="38"/>
        <v/>
      </c>
      <c r="AO13" t="str">
        <f t="shared" si="39"/>
        <v/>
      </c>
      <c r="AP13" t="str">
        <f t="shared" si="40"/>
        <v/>
      </c>
      <c r="AQ13" t="str">
        <f t="shared" si="41"/>
        <v/>
      </c>
      <c r="AR13" t="str">
        <f t="shared" si="42"/>
        <v/>
      </c>
      <c r="AS13" t="str">
        <f t="shared" si="43"/>
        <v/>
      </c>
      <c r="AT13" t="str">
        <f t="shared" si="44"/>
        <v/>
      </c>
      <c r="AU13" t="str">
        <f t="shared" si="45"/>
        <v/>
      </c>
      <c r="AV13" t="str">
        <f t="shared" si="46"/>
        <v/>
      </c>
      <c r="AW13" t="str">
        <f t="shared" si="47"/>
        <v/>
      </c>
      <c r="AX13" t="str">
        <f t="shared" si="48"/>
        <v/>
      </c>
      <c r="AY13" t="str">
        <f t="shared" si="49"/>
        <v/>
      </c>
    </row>
    <row r="14" spans="1:51">
      <c r="A14" t="str">
        <f>发布任务!A14</f>
        <v/>
      </c>
      <c r="B14" t="str">
        <f>IF(发布任务!B14="","",发布任务!B14)</f>
        <v/>
      </c>
      <c r="C14" t="str">
        <f t="shared" si="1"/>
        <v/>
      </c>
      <c r="D14" t="str">
        <f t="shared" si="2"/>
        <v/>
      </c>
      <c r="E14" t="str">
        <f t="shared" si="3"/>
        <v/>
      </c>
      <c r="F14" t="str">
        <f t="shared" si="4"/>
        <v/>
      </c>
      <c r="G14" t="str">
        <f t="shared" si="5"/>
        <v/>
      </c>
      <c r="H14" t="str">
        <f t="shared" si="6"/>
        <v/>
      </c>
      <c r="I14" t="str">
        <f t="shared" si="7"/>
        <v/>
      </c>
      <c r="J14" t="str">
        <f t="shared" si="8"/>
        <v/>
      </c>
      <c r="K14" t="str">
        <f t="shared" si="9"/>
        <v/>
      </c>
      <c r="L14" t="str">
        <f t="shared" si="10"/>
        <v/>
      </c>
      <c r="M14" t="str">
        <f t="shared" si="11"/>
        <v/>
      </c>
      <c r="N14" t="str">
        <f t="shared" si="12"/>
        <v/>
      </c>
      <c r="O14" t="str">
        <f t="shared" si="13"/>
        <v/>
      </c>
      <c r="P14" t="str">
        <f t="shared" si="14"/>
        <v/>
      </c>
      <c r="Q14" t="str">
        <f t="shared" si="15"/>
        <v/>
      </c>
      <c r="R14" t="str">
        <f t="shared" si="16"/>
        <v/>
      </c>
      <c r="S14" t="str">
        <f t="shared" si="17"/>
        <v/>
      </c>
      <c r="T14" t="str">
        <f t="shared" si="18"/>
        <v/>
      </c>
      <c r="U14" t="str">
        <f t="shared" si="19"/>
        <v/>
      </c>
      <c r="V14" t="str">
        <f t="shared" si="20"/>
        <v/>
      </c>
      <c r="W14" t="str">
        <f t="shared" si="21"/>
        <v/>
      </c>
      <c r="X14" t="str">
        <f t="shared" si="22"/>
        <v/>
      </c>
      <c r="Y14" t="str">
        <f t="shared" si="23"/>
        <v/>
      </c>
      <c r="Z14" t="str">
        <f t="shared" si="24"/>
        <v/>
      </c>
      <c r="AA14" t="str">
        <f t="shared" si="25"/>
        <v/>
      </c>
      <c r="AB14" t="str">
        <f t="shared" si="26"/>
        <v/>
      </c>
      <c r="AC14" t="str">
        <f t="shared" si="27"/>
        <v/>
      </c>
      <c r="AD14" t="str">
        <f t="shared" si="28"/>
        <v/>
      </c>
      <c r="AE14" t="str">
        <f t="shared" si="29"/>
        <v/>
      </c>
      <c r="AF14" t="str">
        <f t="shared" si="30"/>
        <v/>
      </c>
      <c r="AG14" t="str">
        <f t="shared" si="31"/>
        <v/>
      </c>
      <c r="AH14" t="str">
        <f t="shared" si="32"/>
        <v/>
      </c>
      <c r="AI14" t="str">
        <f t="shared" si="33"/>
        <v/>
      </c>
      <c r="AJ14" t="str">
        <f t="shared" si="34"/>
        <v/>
      </c>
      <c r="AK14" t="str">
        <f t="shared" si="35"/>
        <v/>
      </c>
      <c r="AL14" t="str">
        <f t="shared" si="36"/>
        <v/>
      </c>
      <c r="AM14" t="str">
        <f t="shared" si="37"/>
        <v/>
      </c>
      <c r="AN14" t="str">
        <f t="shared" si="38"/>
        <v/>
      </c>
      <c r="AO14" t="str">
        <f t="shared" si="39"/>
        <v/>
      </c>
      <c r="AP14" t="str">
        <f t="shared" si="40"/>
        <v/>
      </c>
      <c r="AQ14" t="str">
        <f t="shared" si="41"/>
        <v/>
      </c>
      <c r="AR14" t="str">
        <f t="shared" si="42"/>
        <v/>
      </c>
      <c r="AS14" t="str">
        <f t="shared" si="43"/>
        <v/>
      </c>
      <c r="AT14" t="str">
        <f t="shared" si="44"/>
        <v/>
      </c>
      <c r="AU14" t="str">
        <f t="shared" si="45"/>
        <v/>
      </c>
      <c r="AV14" t="str">
        <f t="shared" si="46"/>
        <v/>
      </c>
      <c r="AW14" t="str">
        <f t="shared" si="47"/>
        <v/>
      </c>
      <c r="AX14" t="str">
        <f t="shared" si="48"/>
        <v/>
      </c>
      <c r="AY14" t="str">
        <f t="shared" si="49"/>
        <v/>
      </c>
    </row>
    <row r="15" spans="1:51">
      <c r="A15" t="str">
        <f>发布任务!A15</f>
        <v/>
      </c>
      <c r="B15" t="str">
        <f>IF(发布任务!B15="","",发布任务!B15)</f>
        <v/>
      </c>
      <c r="C15" t="str">
        <f t="shared" si="1"/>
        <v/>
      </c>
      <c r="D15" t="str">
        <f t="shared" si="2"/>
        <v/>
      </c>
      <c r="E15" t="str">
        <f t="shared" si="3"/>
        <v/>
      </c>
      <c r="F15" t="str">
        <f t="shared" si="4"/>
        <v/>
      </c>
      <c r="G15" t="str">
        <f t="shared" si="5"/>
        <v/>
      </c>
      <c r="H15" t="str">
        <f t="shared" si="6"/>
        <v/>
      </c>
      <c r="I15" t="str">
        <f t="shared" si="7"/>
        <v/>
      </c>
      <c r="J15" t="str">
        <f t="shared" si="8"/>
        <v/>
      </c>
      <c r="K15" t="str">
        <f t="shared" si="9"/>
        <v/>
      </c>
      <c r="L15" t="str">
        <f t="shared" si="10"/>
        <v/>
      </c>
      <c r="M15" t="str">
        <f t="shared" si="11"/>
        <v/>
      </c>
      <c r="N15" t="str">
        <f t="shared" si="12"/>
        <v/>
      </c>
      <c r="O15" t="str">
        <f t="shared" si="13"/>
        <v/>
      </c>
      <c r="P15" t="str">
        <f t="shared" si="14"/>
        <v/>
      </c>
      <c r="Q15" t="str">
        <f t="shared" si="15"/>
        <v/>
      </c>
      <c r="R15" t="str">
        <f t="shared" si="16"/>
        <v/>
      </c>
      <c r="S15" t="str">
        <f t="shared" si="17"/>
        <v/>
      </c>
      <c r="T15" t="str">
        <f t="shared" si="18"/>
        <v/>
      </c>
      <c r="U15" t="str">
        <f t="shared" si="19"/>
        <v/>
      </c>
      <c r="V15" t="str">
        <f t="shared" si="20"/>
        <v/>
      </c>
      <c r="W15" t="str">
        <f t="shared" si="21"/>
        <v/>
      </c>
      <c r="X15" t="str">
        <f t="shared" si="22"/>
        <v/>
      </c>
      <c r="Y15" t="str">
        <f t="shared" si="23"/>
        <v/>
      </c>
      <c r="Z15" t="str">
        <f t="shared" si="24"/>
        <v/>
      </c>
      <c r="AA15" t="str">
        <f t="shared" si="25"/>
        <v/>
      </c>
      <c r="AB15" t="str">
        <f t="shared" si="26"/>
        <v/>
      </c>
      <c r="AC15" t="str">
        <f t="shared" si="27"/>
        <v/>
      </c>
      <c r="AD15" t="str">
        <f t="shared" si="28"/>
        <v/>
      </c>
      <c r="AE15" t="str">
        <f t="shared" si="29"/>
        <v/>
      </c>
      <c r="AF15" t="str">
        <f t="shared" si="30"/>
        <v/>
      </c>
      <c r="AG15" t="str">
        <f t="shared" si="31"/>
        <v/>
      </c>
      <c r="AH15" t="str">
        <f t="shared" si="32"/>
        <v/>
      </c>
      <c r="AI15" t="str">
        <f t="shared" si="33"/>
        <v/>
      </c>
      <c r="AJ15" t="str">
        <f t="shared" si="34"/>
        <v/>
      </c>
      <c r="AK15" t="str">
        <f t="shared" si="35"/>
        <v/>
      </c>
      <c r="AL15" t="str">
        <f t="shared" si="36"/>
        <v/>
      </c>
      <c r="AM15" t="str">
        <f t="shared" si="37"/>
        <v/>
      </c>
      <c r="AN15" t="str">
        <f t="shared" si="38"/>
        <v/>
      </c>
      <c r="AO15" t="str">
        <f t="shared" si="39"/>
        <v/>
      </c>
      <c r="AP15" t="str">
        <f t="shared" si="40"/>
        <v/>
      </c>
      <c r="AQ15" t="str">
        <f t="shared" si="41"/>
        <v/>
      </c>
      <c r="AR15" t="str">
        <f t="shared" si="42"/>
        <v/>
      </c>
      <c r="AS15" t="str">
        <f t="shared" si="43"/>
        <v/>
      </c>
      <c r="AT15" t="str">
        <f t="shared" si="44"/>
        <v/>
      </c>
      <c r="AU15" t="str">
        <f t="shared" si="45"/>
        <v/>
      </c>
      <c r="AV15" t="str">
        <f t="shared" si="46"/>
        <v/>
      </c>
      <c r="AW15" t="str">
        <f t="shared" si="47"/>
        <v/>
      </c>
      <c r="AX15" t="str">
        <f t="shared" si="48"/>
        <v/>
      </c>
      <c r="AY15" t="str">
        <f t="shared" si="49"/>
        <v/>
      </c>
    </row>
    <row r="16" spans="1:51">
      <c r="A16" t="str">
        <f>发布任务!A16</f>
        <v/>
      </c>
      <c r="B16" t="str">
        <f>IF(发布任务!B16="","",发布任务!B16)</f>
        <v/>
      </c>
      <c r="C16" t="str">
        <f t="shared" si="1"/>
        <v/>
      </c>
      <c r="D16" t="str">
        <f t="shared" si="2"/>
        <v/>
      </c>
      <c r="E16" t="str">
        <f t="shared" si="3"/>
        <v/>
      </c>
      <c r="F16" t="str">
        <f t="shared" si="4"/>
        <v/>
      </c>
      <c r="G16" t="str">
        <f t="shared" si="5"/>
        <v/>
      </c>
      <c r="H16" t="str">
        <f t="shared" si="6"/>
        <v/>
      </c>
      <c r="I16" t="str">
        <f t="shared" si="7"/>
        <v/>
      </c>
      <c r="J16" t="str">
        <f t="shared" si="8"/>
        <v/>
      </c>
      <c r="K16" t="str">
        <f t="shared" si="9"/>
        <v/>
      </c>
      <c r="L16" t="str">
        <f t="shared" si="10"/>
        <v/>
      </c>
      <c r="M16" t="str">
        <f t="shared" si="11"/>
        <v/>
      </c>
      <c r="N16" t="str">
        <f t="shared" si="12"/>
        <v/>
      </c>
      <c r="O16" t="str">
        <f t="shared" si="13"/>
        <v/>
      </c>
      <c r="P16" t="str">
        <f t="shared" si="14"/>
        <v/>
      </c>
      <c r="Q16" t="str">
        <f t="shared" si="15"/>
        <v/>
      </c>
      <c r="R16" t="str">
        <f t="shared" si="16"/>
        <v/>
      </c>
      <c r="S16" t="str">
        <f t="shared" si="17"/>
        <v/>
      </c>
      <c r="T16" t="str">
        <f t="shared" si="18"/>
        <v/>
      </c>
      <c r="U16" t="str">
        <f t="shared" si="19"/>
        <v/>
      </c>
      <c r="V16" t="str">
        <f t="shared" si="20"/>
        <v/>
      </c>
      <c r="W16" t="str">
        <f t="shared" si="21"/>
        <v/>
      </c>
      <c r="X16" t="str">
        <f t="shared" si="22"/>
        <v/>
      </c>
      <c r="Y16" t="str">
        <f t="shared" si="23"/>
        <v/>
      </c>
      <c r="Z16" t="str">
        <f t="shared" si="24"/>
        <v/>
      </c>
      <c r="AA16" t="str">
        <f t="shared" si="25"/>
        <v/>
      </c>
      <c r="AB16" t="str">
        <f t="shared" si="26"/>
        <v/>
      </c>
      <c r="AC16" t="str">
        <f t="shared" si="27"/>
        <v/>
      </c>
      <c r="AD16" t="str">
        <f t="shared" si="28"/>
        <v/>
      </c>
      <c r="AE16" t="str">
        <f t="shared" si="29"/>
        <v/>
      </c>
      <c r="AF16" t="str">
        <f t="shared" si="30"/>
        <v/>
      </c>
      <c r="AG16" t="str">
        <f t="shared" si="31"/>
        <v/>
      </c>
      <c r="AH16" t="str">
        <f t="shared" si="32"/>
        <v/>
      </c>
      <c r="AI16" t="str">
        <f t="shared" si="33"/>
        <v/>
      </c>
      <c r="AJ16" t="str">
        <f t="shared" si="34"/>
        <v/>
      </c>
      <c r="AK16" t="str">
        <f t="shared" si="35"/>
        <v/>
      </c>
      <c r="AL16" t="str">
        <f t="shared" si="36"/>
        <v/>
      </c>
      <c r="AM16" t="str">
        <f t="shared" si="37"/>
        <v/>
      </c>
      <c r="AN16" t="str">
        <f t="shared" si="38"/>
        <v/>
      </c>
      <c r="AO16" t="str">
        <f t="shared" si="39"/>
        <v/>
      </c>
      <c r="AP16" t="str">
        <f t="shared" si="40"/>
        <v/>
      </c>
      <c r="AQ16" t="str">
        <f t="shared" si="41"/>
        <v/>
      </c>
      <c r="AR16" t="str">
        <f t="shared" si="42"/>
        <v/>
      </c>
      <c r="AS16" t="str">
        <f t="shared" si="43"/>
        <v/>
      </c>
      <c r="AT16" t="str">
        <f t="shared" si="44"/>
        <v/>
      </c>
      <c r="AU16" t="str">
        <f t="shared" si="45"/>
        <v/>
      </c>
      <c r="AV16" t="str">
        <f t="shared" si="46"/>
        <v/>
      </c>
      <c r="AW16" t="str">
        <f t="shared" si="47"/>
        <v/>
      </c>
      <c r="AX16" t="str">
        <f t="shared" si="48"/>
        <v/>
      </c>
      <c r="AY16" t="str">
        <f t="shared" si="49"/>
        <v/>
      </c>
    </row>
    <row r="17" spans="1:51">
      <c r="A17" t="str">
        <f>发布任务!A17</f>
        <v/>
      </c>
      <c r="B17" t="str">
        <f>IF(发布任务!B17="","",发布任务!B17)</f>
        <v/>
      </c>
      <c r="C17" t="str">
        <f t="shared" si="1"/>
        <v/>
      </c>
      <c r="D17" t="str">
        <f t="shared" si="2"/>
        <v/>
      </c>
      <c r="E17" t="str">
        <f t="shared" si="3"/>
        <v/>
      </c>
      <c r="F17" t="str">
        <f t="shared" si="4"/>
        <v/>
      </c>
      <c r="G17" t="str">
        <f t="shared" si="5"/>
        <v/>
      </c>
      <c r="H17" t="str">
        <f t="shared" si="6"/>
        <v/>
      </c>
      <c r="I17" t="str">
        <f t="shared" si="7"/>
        <v/>
      </c>
      <c r="J17" t="str">
        <f t="shared" si="8"/>
        <v/>
      </c>
      <c r="K17" t="str">
        <f t="shared" si="9"/>
        <v/>
      </c>
      <c r="L17" t="str">
        <f t="shared" si="10"/>
        <v/>
      </c>
      <c r="M17" t="str">
        <f t="shared" si="11"/>
        <v/>
      </c>
      <c r="N17" t="str">
        <f t="shared" si="12"/>
        <v/>
      </c>
      <c r="O17" t="str">
        <f t="shared" si="13"/>
        <v/>
      </c>
      <c r="P17" t="str">
        <f t="shared" si="14"/>
        <v/>
      </c>
      <c r="Q17" t="str">
        <f t="shared" si="15"/>
        <v/>
      </c>
      <c r="R17" t="str">
        <f t="shared" si="16"/>
        <v/>
      </c>
      <c r="S17" t="str">
        <f t="shared" si="17"/>
        <v/>
      </c>
      <c r="T17" t="str">
        <f t="shared" si="18"/>
        <v/>
      </c>
      <c r="U17" t="str">
        <f t="shared" si="19"/>
        <v/>
      </c>
      <c r="V17" t="str">
        <f t="shared" si="20"/>
        <v/>
      </c>
      <c r="W17" t="str">
        <f t="shared" si="21"/>
        <v/>
      </c>
      <c r="X17" t="str">
        <f t="shared" si="22"/>
        <v/>
      </c>
      <c r="Y17" t="str">
        <f t="shared" si="23"/>
        <v/>
      </c>
      <c r="Z17" t="str">
        <f t="shared" si="24"/>
        <v/>
      </c>
      <c r="AA17" t="str">
        <f t="shared" si="25"/>
        <v/>
      </c>
      <c r="AB17" t="str">
        <f t="shared" si="26"/>
        <v/>
      </c>
      <c r="AC17" t="str">
        <f t="shared" si="27"/>
        <v/>
      </c>
      <c r="AD17" t="str">
        <f t="shared" si="28"/>
        <v/>
      </c>
      <c r="AE17" t="str">
        <f t="shared" si="29"/>
        <v/>
      </c>
      <c r="AF17" t="str">
        <f t="shared" si="30"/>
        <v/>
      </c>
      <c r="AG17" t="str">
        <f t="shared" si="31"/>
        <v/>
      </c>
      <c r="AH17" t="str">
        <f t="shared" si="32"/>
        <v/>
      </c>
      <c r="AI17" t="str">
        <f t="shared" si="33"/>
        <v/>
      </c>
      <c r="AJ17" t="str">
        <f t="shared" si="34"/>
        <v/>
      </c>
      <c r="AK17" t="str">
        <f t="shared" si="35"/>
        <v/>
      </c>
      <c r="AL17" t="str">
        <f t="shared" si="36"/>
        <v/>
      </c>
      <c r="AM17" t="str">
        <f t="shared" si="37"/>
        <v/>
      </c>
      <c r="AN17" t="str">
        <f t="shared" si="38"/>
        <v/>
      </c>
      <c r="AO17" t="str">
        <f t="shared" si="39"/>
        <v/>
      </c>
      <c r="AP17" t="str">
        <f t="shared" si="40"/>
        <v/>
      </c>
      <c r="AQ17" t="str">
        <f t="shared" si="41"/>
        <v/>
      </c>
      <c r="AR17" t="str">
        <f t="shared" si="42"/>
        <v/>
      </c>
      <c r="AS17" t="str">
        <f t="shared" si="43"/>
        <v/>
      </c>
      <c r="AT17" t="str">
        <f t="shared" si="44"/>
        <v/>
      </c>
      <c r="AU17" t="str">
        <f t="shared" si="45"/>
        <v/>
      </c>
      <c r="AV17" t="str">
        <f t="shared" si="46"/>
        <v/>
      </c>
      <c r="AW17" t="str">
        <f t="shared" si="47"/>
        <v/>
      </c>
      <c r="AX17" t="str">
        <f t="shared" si="48"/>
        <v/>
      </c>
      <c r="AY17" t="str">
        <f t="shared" si="49"/>
        <v/>
      </c>
    </row>
    <row r="18" spans="1:51">
      <c r="A18" t="str">
        <f>发布任务!A18</f>
        <v/>
      </c>
      <c r="B18" t="str">
        <f>IF(发布任务!B18="","",发布任务!B18)</f>
        <v/>
      </c>
      <c r="C18" t="str">
        <f t="shared" si="1"/>
        <v/>
      </c>
      <c r="D18" t="str">
        <f t="shared" si="2"/>
        <v/>
      </c>
      <c r="E18" t="str">
        <f t="shared" si="3"/>
        <v/>
      </c>
      <c r="F18" t="str">
        <f t="shared" si="4"/>
        <v/>
      </c>
      <c r="G18" t="str">
        <f t="shared" si="5"/>
        <v/>
      </c>
      <c r="H18" t="str">
        <f t="shared" si="6"/>
        <v/>
      </c>
      <c r="I18" t="str">
        <f t="shared" si="7"/>
        <v/>
      </c>
      <c r="J18" t="str">
        <f t="shared" si="8"/>
        <v/>
      </c>
      <c r="K18" t="str">
        <f t="shared" si="9"/>
        <v/>
      </c>
      <c r="L18" t="str">
        <f t="shared" si="10"/>
        <v/>
      </c>
      <c r="M18" t="str">
        <f t="shared" si="11"/>
        <v/>
      </c>
      <c r="N18" t="str">
        <f t="shared" si="12"/>
        <v/>
      </c>
      <c r="O18" t="str">
        <f t="shared" si="13"/>
        <v/>
      </c>
      <c r="P18" t="str">
        <f t="shared" si="14"/>
        <v/>
      </c>
      <c r="Q18" t="str">
        <f t="shared" si="15"/>
        <v/>
      </c>
      <c r="R18" t="str">
        <f t="shared" si="16"/>
        <v/>
      </c>
      <c r="S18" t="str">
        <f t="shared" si="17"/>
        <v/>
      </c>
      <c r="T18" t="str">
        <f t="shared" si="18"/>
        <v/>
      </c>
      <c r="U18" t="str">
        <f t="shared" si="19"/>
        <v/>
      </c>
      <c r="V18" t="str">
        <f t="shared" si="20"/>
        <v/>
      </c>
      <c r="W18" t="str">
        <f t="shared" si="21"/>
        <v/>
      </c>
      <c r="X18" t="str">
        <f t="shared" si="22"/>
        <v/>
      </c>
      <c r="Y18" t="str">
        <f t="shared" si="23"/>
        <v/>
      </c>
      <c r="Z18" t="str">
        <f t="shared" si="24"/>
        <v/>
      </c>
      <c r="AA18" t="str">
        <f t="shared" si="25"/>
        <v/>
      </c>
      <c r="AB18" t="str">
        <f t="shared" si="26"/>
        <v/>
      </c>
      <c r="AC18" t="str">
        <f t="shared" si="27"/>
        <v/>
      </c>
      <c r="AD18" t="str">
        <f t="shared" si="28"/>
        <v/>
      </c>
      <c r="AE18" t="str">
        <f t="shared" si="29"/>
        <v/>
      </c>
      <c r="AF18" t="str">
        <f t="shared" si="30"/>
        <v/>
      </c>
      <c r="AG18" t="str">
        <f t="shared" si="31"/>
        <v/>
      </c>
      <c r="AH18" t="str">
        <f t="shared" si="32"/>
        <v/>
      </c>
      <c r="AI18" t="str">
        <f t="shared" si="33"/>
        <v/>
      </c>
      <c r="AJ18" t="str">
        <f t="shared" si="34"/>
        <v/>
      </c>
      <c r="AK18" t="str">
        <f t="shared" si="35"/>
        <v/>
      </c>
      <c r="AL18" t="str">
        <f t="shared" si="36"/>
        <v/>
      </c>
      <c r="AM18" t="str">
        <f t="shared" si="37"/>
        <v/>
      </c>
      <c r="AN18" t="str">
        <f t="shared" si="38"/>
        <v/>
      </c>
      <c r="AO18" t="str">
        <f t="shared" si="39"/>
        <v/>
      </c>
      <c r="AP18" t="str">
        <f t="shared" si="40"/>
        <v/>
      </c>
      <c r="AQ18" t="str">
        <f t="shared" si="41"/>
        <v/>
      </c>
      <c r="AR18" t="str">
        <f t="shared" si="42"/>
        <v/>
      </c>
      <c r="AS18" t="str">
        <f t="shared" si="43"/>
        <v/>
      </c>
      <c r="AT18" t="str">
        <f t="shared" si="44"/>
        <v/>
      </c>
      <c r="AU18" t="str">
        <f t="shared" si="45"/>
        <v/>
      </c>
      <c r="AV18" t="str">
        <f t="shared" si="46"/>
        <v/>
      </c>
      <c r="AW18" t="str">
        <f t="shared" si="47"/>
        <v/>
      </c>
      <c r="AX18" t="str">
        <f t="shared" si="48"/>
        <v/>
      </c>
      <c r="AY18" t="str">
        <f t="shared" si="49"/>
        <v/>
      </c>
    </row>
    <row r="19" spans="1:51">
      <c r="A19" t="str">
        <f>发布任务!A19</f>
        <v/>
      </c>
      <c r="B19" t="str">
        <f>IF(发布任务!B19="","",发布任务!B19)</f>
        <v/>
      </c>
      <c r="C19" t="str">
        <f t="shared" si="1"/>
        <v/>
      </c>
      <c r="D19" t="str">
        <f t="shared" si="2"/>
        <v/>
      </c>
      <c r="E19" t="str">
        <f t="shared" si="3"/>
        <v/>
      </c>
      <c r="F19" t="str">
        <f t="shared" si="4"/>
        <v/>
      </c>
      <c r="G19" t="str">
        <f t="shared" si="5"/>
        <v/>
      </c>
      <c r="H19" t="str">
        <f t="shared" si="6"/>
        <v/>
      </c>
      <c r="I19" t="str">
        <f t="shared" si="7"/>
        <v/>
      </c>
      <c r="J19" t="str">
        <f t="shared" si="8"/>
        <v/>
      </c>
      <c r="K19" t="str">
        <f t="shared" si="9"/>
        <v/>
      </c>
      <c r="L19" t="str">
        <f t="shared" si="10"/>
        <v/>
      </c>
      <c r="M19" t="str">
        <f t="shared" si="11"/>
        <v/>
      </c>
      <c r="N19" t="str">
        <f t="shared" si="12"/>
        <v/>
      </c>
      <c r="O19" t="str">
        <f t="shared" si="13"/>
        <v/>
      </c>
      <c r="P19" t="str">
        <f t="shared" si="14"/>
        <v/>
      </c>
      <c r="Q19" t="str">
        <f t="shared" si="15"/>
        <v/>
      </c>
      <c r="R19" t="str">
        <f t="shared" si="16"/>
        <v/>
      </c>
      <c r="S19" t="str">
        <f t="shared" si="17"/>
        <v/>
      </c>
      <c r="T19" t="str">
        <f t="shared" si="18"/>
        <v/>
      </c>
      <c r="U19" t="str">
        <f t="shared" si="19"/>
        <v/>
      </c>
      <c r="V19" t="str">
        <f t="shared" si="20"/>
        <v/>
      </c>
      <c r="W19" t="str">
        <f t="shared" si="21"/>
        <v/>
      </c>
      <c r="X19" t="str">
        <f t="shared" si="22"/>
        <v/>
      </c>
      <c r="Y19" t="str">
        <f t="shared" si="23"/>
        <v/>
      </c>
      <c r="Z19" t="str">
        <f t="shared" si="24"/>
        <v/>
      </c>
      <c r="AA19" t="str">
        <f t="shared" si="25"/>
        <v/>
      </c>
      <c r="AB19" t="str">
        <f t="shared" si="26"/>
        <v/>
      </c>
      <c r="AC19" t="str">
        <f t="shared" si="27"/>
        <v/>
      </c>
      <c r="AD19" t="str">
        <f t="shared" si="28"/>
        <v/>
      </c>
      <c r="AE19" t="str">
        <f t="shared" si="29"/>
        <v/>
      </c>
      <c r="AF19" t="str">
        <f t="shared" si="30"/>
        <v/>
      </c>
      <c r="AG19" t="str">
        <f t="shared" si="31"/>
        <v/>
      </c>
      <c r="AH19" t="str">
        <f t="shared" si="32"/>
        <v/>
      </c>
      <c r="AI19" t="str">
        <f t="shared" si="33"/>
        <v/>
      </c>
      <c r="AJ19" t="str">
        <f t="shared" si="34"/>
        <v/>
      </c>
      <c r="AK19" t="str">
        <f t="shared" si="35"/>
        <v/>
      </c>
      <c r="AL19" t="str">
        <f t="shared" si="36"/>
        <v/>
      </c>
      <c r="AM19" t="str">
        <f t="shared" si="37"/>
        <v/>
      </c>
      <c r="AN19" t="str">
        <f t="shared" si="38"/>
        <v/>
      </c>
      <c r="AO19" t="str">
        <f t="shared" si="39"/>
        <v/>
      </c>
      <c r="AP19" t="str">
        <f t="shared" si="40"/>
        <v/>
      </c>
      <c r="AQ19" t="str">
        <f t="shared" si="41"/>
        <v/>
      </c>
      <c r="AR19" t="str">
        <f t="shared" si="42"/>
        <v/>
      </c>
      <c r="AS19" t="str">
        <f t="shared" si="43"/>
        <v/>
      </c>
      <c r="AT19" t="str">
        <f t="shared" si="44"/>
        <v/>
      </c>
      <c r="AU19" t="str">
        <f t="shared" si="45"/>
        <v/>
      </c>
      <c r="AV19" t="str">
        <f t="shared" si="46"/>
        <v/>
      </c>
      <c r="AW19" t="str">
        <f t="shared" si="47"/>
        <v/>
      </c>
      <c r="AX19" t="str">
        <f t="shared" si="48"/>
        <v/>
      </c>
      <c r="AY19" t="str">
        <f t="shared" si="49"/>
        <v/>
      </c>
    </row>
    <row r="20" spans="1:51">
      <c r="A20" t="str">
        <f>发布任务!A20</f>
        <v/>
      </c>
      <c r="B20" t="str">
        <f>IF(发布任务!B20="","",发布任务!B20)</f>
        <v/>
      </c>
      <c r="C20" t="str">
        <f t="shared" si="1"/>
        <v/>
      </c>
      <c r="D20" t="str">
        <f t="shared" si="2"/>
        <v/>
      </c>
      <c r="E20" t="str">
        <f t="shared" si="3"/>
        <v/>
      </c>
      <c r="F20" t="str">
        <f t="shared" si="4"/>
        <v/>
      </c>
      <c r="G20" t="str">
        <f t="shared" si="5"/>
        <v/>
      </c>
      <c r="H20" t="str">
        <f t="shared" si="6"/>
        <v/>
      </c>
      <c r="I20" t="str">
        <f t="shared" si="7"/>
        <v/>
      </c>
      <c r="J20" t="str">
        <f t="shared" si="8"/>
        <v/>
      </c>
      <c r="K20" t="str">
        <f t="shared" si="9"/>
        <v/>
      </c>
      <c r="L20" t="str">
        <f t="shared" si="10"/>
        <v/>
      </c>
      <c r="M20" t="str">
        <f t="shared" si="11"/>
        <v/>
      </c>
      <c r="N20" t="str">
        <f t="shared" si="12"/>
        <v/>
      </c>
      <c r="O20" t="str">
        <f t="shared" si="13"/>
        <v/>
      </c>
      <c r="P20" t="str">
        <f t="shared" si="14"/>
        <v/>
      </c>
      <c r="Q20" t="str">
        <f t="shared" si="15"/>
        <v/>
      </c>
      <c r="R20" t="str">
        <f t="shared" si="16"/>
        <v/>
      </c>
      <c r="S20" t="str">
        <f t="shared" si="17"/>
        <v/>
      </c>
      <c r="T20" t="str">
        <f t="shared" si="18"/>
        <v/>
      </c>
      <c r="U20" t="str">
        <f t="shared" si="19"/>
        <v/>
      </c>
      <c r="V20" t="str">
        <f t="shared" si="20"/>
        <v/>
      </c>
      <c r="W20" t="str">
        <f t="shared" si="21"/>
        <v/>
      </c>
      <c r="X20" t="str">
        <f t="shared" si="22"/>
        <v/>
      </c>
      <c r="Y20" t="str">
        <f t="shared" si="23"/>
        <v/>
      </c>
      <c r="Z20" t="str">
        <f t="shared" si="24"/>
        <v/>
      </c>
      <c r="AA20" t="str">
        <f t="shared" si="25"/>
        <v/>
      </c>
      <c r="AB20" t="str">
        <f t="shared" si="26"/>
        <v/>
      </c>
      <c r="AC20" t="str">
        <f t="shared" si="27"/>
        <v/>
      </c>
      <c r="AD20" t="str">
        <f t="shared" si="28"/>
        <v/>
      </c>
      <c r="AE20" t="str">
        <f t="shared" si="29"/>
        <v/>
      </c>
      <c r="AF20" t="str">
        <f t="shared" si="30"/>
        <v/>
      </c>
      <c r="AG20" t="str">
        <f t="shared" si="31"/>
        <v/>
      </c>
      <c r="AH20" t="str">
        <f t="shared" si="32"/>
        <v/>
      </c>
      <c r="AI20" t="str">
        <f t="shared" si="33"/>
        <v/>
      </c>
      <c r="AJ20" t="str">
        <f t="shared" si="34"/>
        <v/>
      </c>
      <c r="AK20" t="str">
        <f t="shared" si="35"/>
        <v/>
      </c>
      <c r="AL20" t="str">
        <f t="shared" si="36"/>
        <v/>
      </c>
      <c r="AM20" t="str">
        <f t="shared" si="37"/>
        <v/>
      </c>
      <c r="AN20" t="str">
        <f t="shared" si="38"/>
        <v/>
      </c>
      <c r="AO20" t="str">
        <f t="shared" si="39"/>
        <v/>
      </c>
      <c r="AP20" t="str">
        <f t="shared" si="40"/>
        <v/>
      </c>
      <c r="AQ20" t="str">
        <f t="shared" si="41"/>
        <v/>
      </c>
      <c r="AR20" t="str">
        <f t="shared" si="42"/>
        <v/>
      </c>
      <c r="AS20" t="str">
        <f t="shared" si="43"/>
        <v/>
      </c>
      <c r="AT20" t="str">
        <f t="shared" si="44"/>
        <v/>
      </c>
      <c r="AU20" t="str">
        <f t="shared" si="45"/>
        <v/>
      </c>
      <c r="AV20" t="str">
        <f t="shared" si="46"/>
        <v/>
      </c>
      <c r="AW20" t="str">
        <f t="shared" si="47"/>
        <v/>
      </c>
      <c r="AX20" t="str">
        <f t="shared" si="48"/>
        <v/>
      </c>
      <c r="AY20" t="str">
        <f t="shared" si="49"/>
        <v/>
      </c>
    </row>
    <row r="21" spans="1:51">
      <c r="A21" t="str">
        <f>发布任务!A21</f>
        <v/>
      </c>
      <c r="B21" t="str">
        <f>IF(发布任务!B21="","",发布任务!B21)</f>
        <v/>
      </c>
      <c r="C21" t="str">
        <f t="shared" si="1"/>
        <v/>
      </c>
      <c r="D21" t="str">
        <f t="shared" si="2"/>
        <v/>
      </c>
      <c r="E21" t="str">
        <f t="shared" si="3"/>
        <v/>
      </c>
      <c r="F21" t="str">
        <f t="shared" si="4"/>
        <v/>
      </c>
      <c r="G21" t="str">
        <f t="shared" si="5"/>
        <v/>
      </c>
      <c r="H21" t="str">
        <f t="shared" si="6"/>
        <v/>
      </c>
      <c r="I21" t="str">
        <f t="shared" si="7"/>
        <v/>
      </c>
      <c r="J21" t="str">
        <f t="shared" si="8"/>
        <v/>
      </c>
      <c r="K21" t="str">
        <f t="shared" si="9"/>
        <v/>
      </c>
      <c r="L21" t="str">
        <f t="shared" si="10"/>
        <v/>
      </c>
      <c r="M21" t="str">
        <f t="shared" si="11"/>
        <v/>
      </c>
      <c r="N21" t="str">
        <f t="shared" si="12"/>
        <v/>
      </c>
      <c r="O21" t="str">
        <f t="shared" si="13"/>
        <v/>
      </c>
      <c r="P21" t="str">
        <f t="shared" si="14"/>
        <v/>
      </c>
      <c r="Q21" t="str">
        <f t="shared" si="15"/>
        <v/>
      </c>
      <c r="R21" t="str">
        <f t="shared" si="16"/>
        <v/>
      </c>
      <c r="S21" t="str">
        <f t="shared" si="17"/>
        <v/>
      </c>
      <c r="T21" t="str">
        <f t="shared" si="18"/>
        <v/>
      </c>
      <c r="U21" t="str">
        <f t="shared" si="19"/>
        <v/>
      </c>
      <c r="V21" t="str">
        <f t="shared" si="20"/>
        <v/>
      </c>
      <c r="W21" t="str">
        <f t="shared" si="21"/>
        <v/>
      </c>
      <c r="X21" t="str">
        <f t="shared" si="22"/>
        <v/>
      </c>
      <c r="Y21" t="str">
        <f t="shared" si="23"/>
        <v/>
      </c>
      <c r="Z21" t="str">
        <f t="shared" si="24"/>
        <v/>
      </c>
      <c r="AA21" t="str">
        <f t="shared" si="25"/>
        <v/>
      </c>
      <c r="AB21" t="str">
        <f t="shared" si="26"/>
        <v/>
      </c>
      <c r="AC21" t="str">
        <f t="shared" si="27"/>
        <v/>
      </c>
      <c r="AD21" t="str">
        <f t="shared" si="28"/>
        <v/>
      </c>
      <c r="AE21" t="str">
        <f t="shared" si="29"/>
        <v/>
      </c>
      <c r="AF21" t="str">
        <f t="shared" si="30"/>
        <v/>
      </c>
      <c r="AG21" t="str">
        <f t="shared" si="31"/>
        <v/>
      </c>
      <c r="AH21" t="str">
        <f t="shared" si="32"/>
        <v/>
      </c>
      <c r="AI21" t="str">
        <f t="shared" si="33"/>
        <v/>
      </c>
      <c r="AJ21" t="str">
        <f t="shared" si="34"/>
        <v/>
      </c>
      <c r="AK21" t="str">
        <f t="shared" si="35"/>
        <v/>
      </c>
      <c r="AL21" t="str">
        <f t="shared" si="36"/>
        <v/>
      </c>
      <c r="AM21" t="str">
        <f t="shared" si="37"/>
        <v/>
      </c>
      <c r="AN21" t="str">
        <f t="shared" si="38"/>
        <v/>
      </c>
      <c r="AO21" t="str">
        <f t="shared" si="39"/>
        <v/>
      </c>
      <c r="AP21" t="str">
        <f t="shared" si="40"/>
        <v/>
      </c>
      <c r="AQ21" t="str">
        <f t="shared" si="41"/>
        <v/>
      </c>
      <c r="AR21" t="str">
        <f t="shared" si="42"/>
        <v/>
      </c>
      <c r="AS21" t="str">
        <f t="shared" si="43"/>
        <v/>
      </c>
      <c r="AT21" t="str">
        <f t="shared" si="44"/>
        <v/>
      </c>
      <c r="AU21" t="str">
        <f t="shared" si="45"/>
        <v/>
      </c>
      <c r="AV21" t="str">
        <f t="shared" si="46"/>
        <v/>
      </c>
      <c r="AW21" t="str">
        <f t="shared" si="47"/>
        <v/>
      </c>
      <c r="AX21" t="str">
        <f t="shared" si="48"/>
        <v/>
      </c>
      <c r="AY21" t="str">
        <f t="shared" si="49"/>
        <v/>
      </c>
    </row>
    <row r="22" spans="1:51">
      <c r="A22" t="str">
        <f>发布任务!A22</f>
        <v/>
      </c>
      <c r="B22" t="str">
        <f>IF(发布任务!B22="","",发布任务!B22)</f>
        <v/>
      </c>
      <c r="C22" t="str">
        <f t="shared" si="1"/>
        <v/>
      </c>
      <c r="D22" t="str">
        <f t="shared" si="2"/>
        <v/>
      </c>
      <c r="E22" t="str">
        <f t="shared" si="3"/>
        <v/>
      </c>
      <c r="F22" t="str">
        <f t="shared" si="4"/>
        <v/>
      </c>
      <c r="G22" t="str">
        <f t="shared" si="5"/>
        <v/>
      </c>
      <c r="H22" t="str">
        <f t="shared" si="6"/>
        <v/>
      </c>
      <c r="I22" t="str">
        <f t="shared" si="7"/>
        <v/>
      </c>
      <c r="J22" t="str">
        <f t="shared" si="8"/>
        <v/>
      </c>
      <c r="K22" t="str">
        <f t="shared" si="9"/>
        <v/>
      </c>
      <c r="L22" t="str">
        <f t="shared" si="10"/>
        <v/>
      </c>
      <c r="M22" t="str">
        <f t="shared" si="11"/>
        <v/>
      </c>
      <c r="N22" t="str">
        <f t="shared" si="12"/>
        <v/>
      </c>
      <c r="O22" t="str">
        <f t="shared" si="13"/>
        <v/>
      </c>
      <c r="P22" t="str">
        <f t="shared" si="14"/>
        <v/>
      </c>
      <c r="Q22" t="str">
        <f t="shared" si="15"/>
        <v/>
      </c>
      <c r="R22" t="str">
        <f t="shared" si="16"/>
        <v/>
      </c>
      <c r="S22" t="str">
        <f t="shared" si="17"/>
        <v/>
      </c>
      <c r="T22" t="str">
        <f t="shared" si="18"/>
        <v/>
      </c>
      <c r="U22" t="str">
        <f t="shared" si="19"/>
        <v/>
      </c>
      <c r="V22" t="str">
        <f t="shared" si="20"/>
        <v/>
      </c>
      <c r="W22" t="str">
        <f t="shared" si="21"/>
        <v/>
      </c>
      <c r="X22" t="str">
        <f t="shared" si="22"/>
        <v/>
      </c>
      <c r="Y22" t="str">
        <f t="shared" si="23"/>
        <v/>
      </c>
      <c r="Z22" t="str">
        <f t="shared" si="24"/>
        <v/>
      </c>
      <c r="AA22" t="str">
        <f t="shared" si="25"/>
        <v/>
      </c>
      <c r="AB22" t="str">
        <f t="shared" si="26"/>
        <v/>
      </c>
      <c r="AC22" t="str">
        <f t="shared" si="27"/>
        <v/>
      </c>
      <c r="AD22" t="str">
        <f t="shared" si="28"/>
        <v/>
      </c>
      <c r="AE22" t="str">
        <f t="shared" si="29"/>
        <v/>
      </c>
      <c r="AF22" t="str">
        <f t="shared" si="30"/>
        <v/>
      </c>
      <c r="AG22" t="str">
        <f t="shared" si="31"/>
        <v/>
      </c>
      <c r="AH22" t="str">
        <f t="shared" si="32"/>
        <v/>
      </c>
      <c r="AI22" t="str">
        <f t="shared" si="33"/>
        <v/>
      </c>
      <c r="AJ22" t="str">
        <f t="shared" si="34"/>
        <v/>
      </c>
      <c r="AK22" t="str">
        <f t="shared" si="35"/>
        <v/>
      </c>
      <c r="AL22" t="str">
        <f t="shared" si="36"/>
        <v/>
      </c>
      <c r="AM22" t="str">
        <f t="shared" si="37"/>
        <v/>
      </c>
      <c r="AN22" t="str">
        <f t="shared" si="38"/>
        <v/>
      </c>
      <c r="AO22" t="str">
        <f t="shared" si="39"/>
        <v/>
      </c>
      <c r="AP22" t="str">
        <f t="shared" si="40"/>
        <v/>
      </c>
      <c r="AQ22" t="str">
        <f t="shared" si="41"/>
        <v/>
      </c>
      <c r="AR22" t="str">
        <f t="shared" si="42"/>
        <v/>
      </c>
      <c r="AS22" t="str">
        <f t="shared" si="43"/>
        <v/>
      </c>
      <c r="AT22" t="str">
        <f t="shared" si="44"/>
        <v/>
      </c>
      <c r="AU22" t="str">
        <f t="shared" si="45"/>
        <v/>
      </c>
      <c r="AV22" t="str">
        <f t="shared" si="46"/>
        <v/>
      </c>
      <c r="AW22" t="str">
        <f t="shared" si="47"/>
        <v/>
      </c>
      <c r="AX22" t="str">
        <f t="shared" si="48"/>
        <v/>
      </c>
      <c r="AY22" t="str">
        <f t="shared" si="49"/>
        <v/>
      </c>
    </row>
    <row r="23" spans="1:51">
      <c r="A23" t="str">
        <f>发布任务!A23</f>
        <v/>
      </c>
      <c r="B23" t="str">
        <f>IF(发布任务!B23="","",发布任务!B23)</f>
        <v/>
      </c>
      <c r="C23" t="str">
        <f t="shared" si="1"/>
        <v/>
      </c>
      <c r="D23" t="str">
        <f t="shared" si="2"/>
        <v/>
      </c>
      <c r="E23" t="str">
        <f t="shared" si="3"/>
        <v/>
      </c>
      <c r="F23" t="str">
        <f t="shared" si="4"/>
        <v/>
      </c>
      <c r="G23" t="str">
        <f t="shared" si="5"/>
        <v/>
      </c>
      <c r="H23" t="str">
        <f t="shared" si="6"/>
        <v/>
      </c>
      <c r="I23" t="str">
        <f t="shared" si="7"/>
        <v/>
      </c>
      <c r="J23" t="str">
        <f t="shared" si="8"/>
        <v/>
      </c>
      <c r="K23" t="str">
        <f t="shared" si="9"/>
        <v/>
      </c>
      <c r="L23" t="str">
        <f t="shared" si="10"/>
        <v/>
      </c>
      <c r="M23" t="str">
        <f t="shared" si="11"/>
        <v/>
      </c>
      <c r="N23" t="str">
        <f t="shared" si="12"/>
        <v/>
      </c>
      <c r="O23" t="str">
        <f t="shared" si="13"/>
        <v/>
      </c>
      <c r="P23" t="str">
        <f t="shared" si="14"/>
        <v/>
      </c>
      <c r="Q23" t="str">
        <f t="shared" si="15"/>
        <v/>
      </c>
      <c r="R23" t="str">
        <f t="shared" si="16"/>
        <v/>
      </c>
      <c r="S23" t="str">
        <f t="shared" si="17"/>
        <v/>
      </c>
      <c r="T23" t="str">
        <f t="shared" si="18"/>
        <v/>
      </c>
      <c r="U23" t="str">
        <f t="shared" si="19"/>
        <v/>
      </c>
      <c r="V23" t="str">
        <f t="shared" si="20"/>
        <v/>
      </c>
      <c r="W23" t="str">
        <f t="shared" si="21"/>
        <v/>
      </c>
      <c r="X23" t="str">
        <f t="shared" si="22"/>
        <v/>
      </c>
      <c r="Y23" t="str">
        <f t="shared" si="23"/>
        <v/>
      </c>
      <c r="Z23" t="str">
        <f t="shared" si="24"/>
        <v/>
      </c>
      <c r="AA23" t="str">
        <f t="shared" si="25"/>
        <v/>
      </c>
      <c r="AB23" t="str">
        <f t="shared" si="26"/>
        <v/>
      </c>
      <c r="AC23" t="str">
        <f t="shared" si="27"/>
        <v/>
      </c>
      <c r="AD23" t="str">
        <f t="shared" si="28"/>
        <v/>
      </c>
      <c r="AE23" t="str">
        <f t="shared" si="29"/>
        <v/>
      </c>
      <c r="AF23" t="str">
        <f t="shared" si="30"/>
        <v/>
      </c>
      <c r="AG23" t="str">
        <f t="shared" si="31"/>
        <v/>
      </c>
      <c r="AH23" t="str">
        <f t="shared" si="32"/>
        <v/>
      </c>
      <c r="AI23" t="str">
        <f t="shared" si="33"/>
        <v/>
      </c>
      <c r="AJ23" t="str">
        <f t="shared" si="34"/>
        <v/>
      </c>
      <c r="AK23" t="str">
        <f t="shared" si="35"/>
        <v/>
      </c>
      <c r="AL23" t="str">
        <f t="shared" si="36"/>
        <v/>
      </c>
      <c r="AM23" t="str">
        <f t="shared" si="37"/>
        <v/>
      </c>
      <c r="AN23" t="str">
        <f t="shared" si="38"/>
        <v/>
      </c>
      <c r="AO23" t="str">
        <f t="shared" si="39"/>
        <v/>
      </c>
      <c r="AP23" t="str">
        <f t="shared" si="40"/>
        <v/>
      </c>
      <c r="AQ23" t="str">
        <f t="shared" si="41"/>
        <v/>
      </c>
      <c r="AR23" t="str">
        <f t="shared" si="42"/>
        <v/>
      </c>
      <c r="AS23" t="str">
        <f t="shared" si="43"/>
        <v/>
      </c>
      <c r="AT23" t="str">
        <f t="shared" si="44"/>
        <v/>
      </c>
      <c r="AU23" t="str">
        <f t="shared" si="45"/>
        <v/>
      </c>
      <c r="AV23" t="str">
        <f t="shared" si="46"/>
        <v/>
      </c>
      <c r="AW23" t="str">
        <f t="shared" si="47"/>
        <v/>
      </c>
      <c r="AX23" t="str">
        <f t="shared" si="48"/>
        <v/>
      </c>
      <c r="AY23" t="str">
        <f t="shared" si="49"/>
        <v/>
      </c>
    </row>
    <row r="24" spans="1:51">
      <c r="A24" t="str">
        <f>发布任务!A24</f>
        <v/>
      </c>
      <c r="B24" t="str">
        <f>IF(发布任务!B24="","",发布任务!B24)</f>
        <v/>
      </c>
      <c r="C24" t="str">
        <f t="shared" si="1"/>
        <v/>
      </c>
      <c r="D24" t="str">
        <f t="shared" si="2"/>
        <v/>
      </c>
      <c r="E24" t="str">
        <f t="shared" si="3"/>
        <v/>
      </c>
      <c r="F24" t="str">
        <f t="shared" si="4"/>
        <v/>
      </c>
      <c r="G24" t="str">
        <f t="shared" si="5"/>
        <v/>
      </c>
      <c r="H24" t="str">
        <f t="shared" si="6"/>
        <v/>
      </c>
      <c r="I24" t="str">
        <f t="shared" si="7"/>
        <v/>
      </c>
      <c r="J24" t="str">
        <f t="shared" si="8"/>
        <v/>
      </c>
      <c r="K24" t="str">
        <f t="shared" si="9"/>
        <v/>
      </c>
      <c r="L24" t="str">
        <f t="shared" si="10"/>
        <v/>
      </c>
      <c r="M24" t="str">
        <f t="shared" si="11"/>
        <v/>
      </c>
      <c r="N24" t="str">
        <f t="shared" si="12"/>
        <v/>
      </c>
      <c r="O24" t="str">
        <f t="shared" si="13"/>
        <v/>
      </c>
      <c r="P24" t="str">
        <f t="shared" si="14"/>
        <v/>
      </c>
      <c r="Q24" t="str">
        <f t="shared" si="15"/>
        <v/>
      </c>
      <c r="R24" t="str">
        <f t="shared" si="16"/>
        <v/>
      </c>
      <c r="S24" t="str">
        <f t="shared" si="17"/>
        <v/>
      </c>
      <c r="T24" t="str">
        <f t="shared" si="18"/>
        <v/>
      </c>
      <c r="U24" t="str">
        <f t="shared" si="19"/>
        <v/>
      </c>
      <c r="V24" t="str">
        <f t="shared" si="20"/>
        <v/>
      </c>
      <c r="W24" t="str">
        <f t="shared" si="21"/>
        <v/>
      </c>
      <c r="X24" t="str">
        <f t="shared" si="22"/>
        <v/>
      </c>
      <c r="Y24" t="str">
        <f t="shared" si="23"/>
        <v/>
      </c>
      <c r="Z24" t="str">
        <f t="shared" si="24"/>
        <v/>
      </c>
      <c r="AA24" t="str">
        <f t="shared" si="25"/>
        <v/>
      </c>
      <c r="AB24" t="str">
        <f t="shared" si="26"/>
        <v/>
      </c>
      <c r="AC24" t="str">
        <f t="shared" si="27"/>
        <v/>
      </c>
      <c r="AD24" t="str">
        <f t="shared" si="28"/>
        <v/>
      </c>
      <c r="AE24" t="str">
        <f t="shared" si="29"/>
        <v/>
      </c>
      <c r="AF24" t="str">
        <f t="shared" si="30"/>
        <v/>
      </c>
      <c r="AG24" t="str">
        <f t="shared" si="31"/>
        <v/>
      </c>
      <c r="AH24" t="str">
        <f t="shared" si="32"/>
        <v/>
      </c>
      <c r="AI24" t="str">
        <f t="shared" si="33"/>
        <v/>
      </c>
      <c r="AJ24" t="str">
        <f t="shared" si="34"/>
        <v/>
      </c>
      <c r="AK24" t="str">
        <f t="shared" si="35"/>
        <v/>
      </c>
      <c r="AL24" t="str">
        <f t="shared" si="36"/>
        <v/>
      </c>
      <c r="AM24" t="str">
        <f t="shared" si="37"/>
        <v/>
      </c>
      <c r="AN24" t="str">
        <f t="shared" si="38"/>
        <v/>
      </c>
      <c r="AO24" t="str">
        <f t="shared" si="39"/>
        <v/>
      </c>
      <c r="AP24" t="str">
        <f t="shared" si="40"/>
        <v/>
      </c>
      <c r="AQ24" t="str">
        <f t="shared" si="41"/>
        <v/>
      </c>
      <c r="AR24" t="str">
        <f t="shared" si="42"/>
        <v/>
      </c>
      <c r="AS24" t="str">
        <f t="shared" si="43"/>
        <v/>
      </c>
      <c r="AT24" t="str">
        <f t="shared" si="44"/>
        <v/>
      </c>
      <c r="AU24" t="str">
        <f t="shared" si="45"/>
        <v/>
      </c>
      <c r="AV24" t="str">
        <f t="shared" si="46"/>
        <v/>
      </c>
      <c r="AW24" t="str">
        <f t="shared" si="47"/>
        <v/>
      </c>
      <c r="AX24" t="str">
        <f t="shared" si="48"/>
        <v/>
      </c>
      <c r="AY24" t="str">
        <f t="shared" si="49"/>
        <v/>
      </c>
    </row>
  </sheetData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T24"/>
  <sheetViews>
    <sheetView workbookViewId="0">
      <selection activeCell="C10" sqref="C10"/>
    </sheetView>
  </sheetViews>
  <sheetFormatPr defaultColWidth="9" defaultRowHeight="13.5"/>
  <cols>
    <col min="2" max="2" width="17.5" customWidth="1"/>
    <col min="5" max="5" width="8.125" customWidth="1"/>
    <col min="6" max="6" width="11.375" customWidth="1"/>
  </cols>
  <sheetData>
    <row r="1" spans="1:46">
      <c r="A1" s="1" t="s">
        <v>123</v>
      </c>
      <c r="B1" s="1" t="s">
        <v>124</v>
      </c>
      <c r="C1" s="1" t="s">
        <v>552</v>
      </c>
      <c r="D1" s="1" t="s">
        <v>553</v>
      </c>
      <c r="E1" s="1" t="s">
        <v>554</v>
      </c>
      <c r="F1" s="1" t="s">
        <v>555</v>
      </c>
      <c r="G1" s="1" t="s">
        <v>556</v>
      </c>
      <c r="H1" s="1" t="s">
        <v>557</v>
      </c>
      <c r="I1" s="1" t="s">
        <v>558</v>
      </c>
      <c r="J1" s="1" t="s">
        <v>559</v>
      </c>
      <c r="K1" s="1" t="s">
        <v>560</v>
      </c>
      <c r="L1" s="1" t="s">
        <v>561</v>
      </c>
      <c r="M1" s="1" t="s">
        <v>562</v>
      </c>
      <c r="N1" s="1" t="s">
        <v>563</v>
      </c>
      <c r="O1" s="1" t="s">
        <v>564</v>
      </c>
      <c r="P1" s="1" t="s">
        <v>565</v>
      </c>
      <c r="Q1" s="1" t="s">
        <v>566</v>
      </c>
      <c r="R1" s="1" t="s">
        <v>567</v>
      </c>
      <c r="S1" s="1" t="s">
        <v>568</v>
      </c>
      <c r="T1" s="1" t="s">
        <v>569</v>
      </c>
      <c r="U1" s="1" t="s">
        <v>570</v>
      </c>
      <c r="V1" s="1" t="s">
        <v>571</v>
      </c>
      <c r="W1" s="1" t="s">
        <v>572</v>
      </c>
      <c r="X1" s="1" t="s">
        <v>573</v>
      </c>
      <c r="Y1" s="1" t="s">
        <v>574</v>
      </c>
      <c r="Z1" s="1" t="s">
        <v>575</v>
      </c>
      <c r="AA1" s="1" t="s">
        <v>576</v>
      </c>
      <c r="AB1" s="1" t="s">
        <v>577</v>
      </c>
      <c r="AC1" s="1" t="s">
        <v>578</v>
      </c>
      <c r="AD1" s="1" t="s">
        <v>579</v>
      </c>
      <c r="AE1" s="1" t="s">
        <v>580</v>
      </c>
      <c r="AF1" s="1" t="s">
        <v>581</v>
      </c>
      <c r="AG1" s="1" t="s">
        <v>582</v>
      </c>
      <c r="AH1" s="1" t="s">
        <v>583</v>
      </c>
      <c r="AI1" s="1" t="s">
        <v>584</v>
      </c>
      <c r="AJ1" s="1" t="s">
        <v>585</v>
      </c>
      <c r="AK1" s="1" t="s">
        <v>586</v>
      </c>
      <c r="AL1" s="1" t="s">
        <v>587</v>
      </c>
      <c r="AM1" s="1" t="s">
        <v>588</v>
      </c>
      <c r="AN1" s="1" t="s">
        <v>589</v>
      </c>
      <c r="AO1" s="1" t="s">
        <v>590</v>
      </c>
      <c r="AP1" s="1" t="s">
        <v>591</v>
      </c>
      <c r="AQ1" s="1" t="s">
        <v>592</v>
      </c>
      <c r="AR1" s="1" t="s">
        <v>593</v>
      </c>
      <c r="AS1" s="1" t="s">
        <v>594</v>
      </c>
      <c r="AT1" s="1" t="s">
        <v>595</v>
      </c>
    </row>
    <row r="2" spans="1:46">
      <c r="A2" s="1" t="s">
        <v>153</v>
      </c>
      <c r="B2" s="1" t="s">
        <v>154</v>
      </c>
      <c r="C2" s="1" t="s">
        <v>153</v>
      </c>
      <c r="D2" s="1" t="s">
        <v>153</v>
      </c>
      <c r="E2" s="1" t="s">
        <v>153</v>
      </c>
      <c r="F2" s="1" t="s">
        <v>596</v>
      </c>
      <c r="G2" s="1" t="s">
        <v>596</v>
      </c>
      <c r="H2" s="1" t="s">
        <v>153</v>
      </c>
      <c r="I2" s="1" t="s">
        <v>153</v>
      </c>
      <c r="J2" s="1" t="s">
        <v>153</v>
      </c>
      <c r="K2" s="1" t="s">
        <v>153</v>
      </c>
      <c r="L2" s="1" t="s">
        <v>153</v>
      </c>
      <c r="M2" s="1" t="s">
        <v>153</v>
      </c>
      <c r="N2" s="1" t="s">
        <v>153</v>
      </c>
      <c r="O2" s="1" t="s">
        <v>153</v>
      </c>
      <c r="P2" s="1" t="s">
        <v>153</v>
      </c>
      <c r="Q2" s="1" t="s">
        <v>153</v>
      </c>
      <c r="R2" s="1" t="s">
        <v>153</v>
      </c>
      <c r="S2" s="1" t="s">
        <v>153</v>
      </c>
      <c r="T2" s="1" t="s">
        <v>153</v>
      </c>
      <c r="U2" s="1" t="s">
        <v>153</v>
      </c>
      <c r="V2" s="1" t="s">
        <v>153</v>
      </c>
      <c r="W2" s="1" t="s">
        <v>153</v>
      </c>
      <c r="X2" s="1" t="s">
        <v>153</v>
      </c>
      <c r="Y2" s="1" t="s">
        <v>153</v>
      </c>
      <c r="Z2" s="1" t="s">
        <v>153</v>
      </c>
      <c r="AA2" s="1" t="s">
        <v>153</v>
      </c>
      <c r="AB2" s="1" t="s">
        <v>153</v>
      </c>
      <c r="AC2" s="1" t="s">
        <v>153</v>
      </c>
      <c r="AD2" s="1" t="s">
        <v>153</v>
      </c>
      <c r="AE2" s="1" t="s">
        <v>153</v>
      </c>
      <c r="AF2" s="1" t="s">
        <v>153</v>
      </c>
      <c r="AG2" s="1" t="s">
        <v>153</v>
      </c>
      <c r="AH2" s="1" t="s">
        <v>153</v>
      </c>
      <c r="AI2" s="1" t="s">
        <v>153</v>
      </c>
      <c r="AJ2" s="1" t="s">
        <v>153</v>
      </c>
      <c r="AK2" s="1" t="s">
        <v>153</v>
      </c>
      <c r="AL2" s="1" t="s">
        <v>153</v>
      </c>
      <c r="AM2" s="1" t="s">
        <v>153</v>
      </c>
      <c r="AN2" s="1" t="s">
        <v>153</v>
      </c>
      <c r="AO2" s="1" t="s">
        <v>153</v>
      </c>
      <c r="AP2" s="1" t="s">
        <v>153</v>
      </c>
      <c r="AQ2" s="1" t="s">
        <v>153</v>
      </c>
      <c r="AR2" s="1" t="s">
        <v>153</v>
      </c>
      <c r="AS2" s="1" t="s">
        <v>153</v>
      </c>
      <c r="AT2" s="1" t="s">
        <v>153</v>
      </c>
    </row>
    <row r="3" spans="1:46">
      <c r="A3" s="1" t="s">
        <v>507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 t="s">
        <v>279</v>
      </c>
      <c r="AR3" s="1" t="s">
        <v>279</v>
      </c>
      <c r="AS3" s="1" t="s">
        <v>279</v>
      </c>
      <c r="AT3" s="1" t="s">
        <v>279</v>
      </c>
    </row>
    <row r="4" spans="1:46">
      <c r="A4" s="1" t="s">
        <v>157</v>
      </c>
      <c r="B4" s="1" t="s">
        <v>597</v>
      </c>
      <c r="C4" s="1" t="s">
        <v>598</v>
      </c>
      <c r="D4" s="1" t="s">
        <v>599</v>
      </c>
      <c r="E4" s="1" t="s">
        <v>600</v>
      </c>
      <c r="F4" s="1" t="s">
        <v>601</v>
      </c>
      <c r="G4" s="1" t="s">
        <v>602</v>
      </c>
      <c r="H4" s="1" t="s">
        <v>603</v>
      </c>
      <c r="I4" s="1" t="s">
        <v>604</v>
      </c>
      <c r="J4" s="1" t="s">
        <v>604</v>
      </c>
      <c r="K4" s="1" t="s">
        <v>604</v>
      </c>
      <c r="L4" s="1" t="s">
        <v>604</v>
      </c>
      <c r="M4" s="1" t="s">
        <v>604</v>
      </c>
      <c r="N4" s="1" t="s">
        <v>604</v>
      </c>
      <c r="O4" s="1" t="s">
        <v>604</v>
      </c>
      <c r="P4" s="1" t="s">
        <v>604</v>
      </c>
      <c r="Q4" s="1" t="s">
        <v>604</v>
      </c>
      <c r="R4" s="1" t="s">
        <v>604</v>
      </c>
      <c r="S4" s="1" t="s">
        <v>605</v>
      </c>
      <c r="T4" s="1" t="s">
        <v>605</v>
      </c>
      <c r="U4" s="1" t="s">
        <v>605</v>
      </c>
      <c r="V4" s="1" t="s">
        <v>605</v>
      </c>
      <c r="W4" s="1" t="s">
        <v>605</v>
      </c>
      <c r="X4" s="1" t="s">
        <v>605</v>
      </c>
      <c r="Y4" s="1" t="s">
        <v>605</v>
      </c>
      <c r="Z4" s="1" t="s">
        <v>605</v>
      </c>
      <c r="AA4" s="1" t="s">
        <v>605</v>
      </c>
      <c r="AB4" s="1" t="s">
        <v>605</v>
      </c>
      <c r="AC4" s="1" t="s">
        <v>606</v>
      </c>
      <c r="AD4" s="1" t="s">
        <v>607</v>
      </c>
      <c r="AE4" s="1" t="s">
        <v>607</v>
      </c>
      <c r="AF4" s="1" t="s">
        <v>607</v>
      </c>
      <c r="AG4" s="1" t="s">
        <v>607</v>
      </c>
      <c r="AH4" s="1" t="s">
        <v>607</v>
      </c>
      <c r="AI4" s="1" t="s">
        <v>607</v>
      </c>
      <c r="AJ4" s="1" t="s">
        <v>607</v>
      </c>
      <c r="AK4" s="1" t="s">
        <v>607</v>
      </c>
      <c r="AL4" s="1" t="s">
        <v>607</v>
      </c>
      <c r="AM4" s="1" t="s">
        <v>607</v>
      </c>
      <c r="AN4" s="1" t="s">
        <v>608</v>
      </c>
      <c r="AO4" s="1" t="s">
        <v>609</v>
      </c>
      <c r="AP4" s="1" t="s">
        <v>610</v>
      </c>
      <c r="AQ4" s="1" t="s">
        <v>611</v>
      </c>
      <c r="AR4" s="1" t="s">
        <v>612</v>
      </c>
      <c r="AS4" s="1" t="s">
        <v>613</v>
      </c>
      <c r="AT4" s="1" t="s">
        <v>614</v>
      </c>
    </row>
    <row r="5" spans="1:46">
      <c r="A5">
        <f>发布任务!A5</f>
        <v>8124</v>
      </c>
      <c r="B5" t="str">
        <f>IF(发布任务!B5="","",发布任务!B5)</f>
        <v>资13-军衔任务</v>
      </c>
      <c r="C5">
        <f>IF($A5="","",发布任务!S5)</f>
        <v>30</v>
      </c>
      <c r="D5">
        <f>IF($A5="","",-1)</f>
        <v>-1</v>
      </c>
      <c r="E5">
        <f>IF($A5="","",-1)</f>
        <v>-1</v>
      </c>
      <c r="F5">
        <f>IF($A5="","",-1)</f>
        <v>-1</v>
      </c>
      <c r="G5">
        <f>IF($A5="","",-1)</f>
        <v>-1</v>
      </c>
      <c r="H5">
        <f>IF($A5="","",-1)</f>
        <v>-1</v>
      </c>
      <c r="I5">
        <f>IF(A5="","",发布任务!Q5)</f>
        <v>-1</v>
      </c>
      <c r="J5">
        <f>IF($A5="","",-1)</f>
        <v>-1</v>
      </c>
      <c r="K5">
        <f>IF($A5="","",-1)</f>
        <v>-1</v>
      </c>
      <c r="L5">
        <f>IF($A5="","",-1)</f>
        <v>-1</v>
      </c>
      <c r="M5">
        <f>IF($A5="","",-1)</f>
        <v>-1</v>
      </c>
      <c r="N5">
        <f>IF($A5="","",-1)</f>
        <v>-1</v>
      </c>
      <c r="O5">
        <f t="shared" ref="O5:AB5" si="0">IF($A5="","",-1)</f>
        <v>-1</v>
      </c>
      <c r="P5">
        <f t="shared" si="0"/>
        <v>-1</v>
      </c>
      <c r="Q5">
        <f t="shared" si="0"/>
        <v>-1</v>
      </c>
      <c r="R5">
        <f t="shared" si="0"/>
        <v>-1</v>
      </c>
      <c r="S5">
        <f t="shared" si="0"/>
        <v>-1</v>
      </c>
      <c r="T5">
        <f t="shared" si="0"/>
        <v>-1</v>
      </c>
      <c r="U5">
        <f t="shared" si="0"/>
        <v>-1</v>
      </c>
      <c r="V5">
        <f t="shared" si="0"/>
        <v>-1</v>
      </c>
      <c r="W5">
        <f t="shared" si="0"/>
        <v>-1</v>
      </c>
      <c r="X5">
        <f t="shared" si="0"/>
        <v>-1</v>
      </c>
      <c r="Y5">
        <f t="shared" si="0"/>
        <v>-1</v>
      </c>
      <c r="Z5">
        <f t="shared" si="0"/>
        <v>-1</v>
      </c>
      <c r="AA5">
        <f t="shared" si="0"/>
        <v>-1</v>
      </c>
      <c r="AB5">
        <f t="shared" si="0"/>
        <v>-1</v>
      </c>
      <c r="AC5">
        <f t="shared" ref="AC5:AT5" si="1">IF($A5="","",-1)</f>
        <v>-1</v>
      </c>
      <c r="AD5">
        <f t="shared" si="1"/>
        <v>-1</v>
      </c>
      <c r="AE5">
        <f t="shared" si="1"/>
        <v>-1</v>
      </c>
      <c r="AF5">
        <f t="shared" si="1"/>
        <v>-1</v>
      </c>
      <c r="AG5">
        <f t="shared" si="1"/>
        <v>-1</v>
      </c>
      <c r="AH5">
        <f t="shared" si="1"/>
        <v>-1</v>
      </c>
      <c r="AI5">
        <f t="shared" si="1"/>
        <v>-1</v>
      </c>
      <c r="AJ5">
        <f t="shared" si="1"/>
        <v>-1</v>
      </c>
      <c r="AK5">
        <f t="shared" si="1"/>
        <v>-1</v>
      </c>
      <c r="AL5">
        <f t="shared" si="1"/>
        <v>-1</v>
      </c>
      <c r="AM5">
        <f t="shared" si="1"/>
        <v>-1</v>
      </c>
      <c r="AN5">
        <f t="shared" si="1"/>
        <v>-1</v>
      </c>
      <c r="AO5">
        <f t="shared" si="1"/>
        <v>-1</v>
      </c>
      <c r="AP5">
        <f t="shared" si="1"/>
        <v>-1</v>
      </c>
      <c r="AQ5">
        <f t="shared" si="1"/>
        <v>-1</v>
      </c>
      <c r="AR5">
        <f t="shared" si="1"/>
        <v>-1</v>
      </c>
      <c r="AS5">
        <f t="shared" si="1"/>
        <v>-1</v>
      </c>
      <c r="AT5">
        <f t="shared" si="1"/>
        <v>-1</v>
      </c>
    </row>
    <row r="6" spans="1:46">
      <c r="A6">
        <f>发布任务!A6</f>
        <v>8125</v>
      </c>
      <c r="B6" t="str">
        <f>IF(发布任务!B6="","",发布任务!B6)</f>
        <v>资14-军衔任务</v>
      </c>
      <c r="C6">
        <f>IF($A6="","",发布任务!S6)</f>
        <v>35</v>
      </c>
      <c r="D6">
        <f>IF($A6="","",-1)</f>
        <v>-1</v>
      </c>
      <c r="E6">
        <f>IF($A6="","",-1)</f>
        <v>-1</v>
      </c>
      <c r="F6">
        <f>IF($A6="","",-1)</f>
        <v>-1</v>
      </c>
      <c r="G6">
        <f>IF($A6="","",-1)</f>
        <v>-1</v>
      </c>
      <c r="H6">
        <f>IF($A6="","",-1)</f>
        <v>-1</v>
      </c>
      <c r="I6">
        <f>IF(A6="","",发布任务!Q6)</f>
        <v>8124</v>
      </c>
      <c r="J6">
        <f>IF($A6="","",-1)</f>
        <v>-1</v>
      </c>
      <c r="K6">
        <f>IF($A6="","",-1)</f>
        <v>-1</v>
      </c>
      <c r="L6">
        <f>IF($A6="","",-1)</f>
        <v>-1</v>
      </c>
      <c r="M6">
        <f>IF($A6="","",-1)</f>
        <v>-1</v>
      </c>
      <c r="N6">
        <f>IF($A6="","",-1)</f>
        <v>-1</v>
      </c>
      <c r="O6">
        <f>IF($A6="","",-1)</f>
        <v>-1</v>
      </c>
      <c r="P6">
        <f>IF($A6="","",-1)</f>
        <v>-1</v>
      </c>
      <c r="Q6">
        <f>IF($A6="","",-1)</f>
        <v>-1</v>
      </c>
      <c r="R6">
        <f>IF($A6="","",-1)</f>
        <v>-1</v>
      </c>
      <c r="S6">
        <f>IF($A6="","",-1)</f>
        <v>-1</v>
      </c>
      <c r="T6">
        <f>IF($A6="","",-1)</f>
        <v>-1</v>
      </c>
      <c r="U6">
        <f>IF($A6="","",-1)</f>
        <v>-1</v>
      </c>
      <c r="V6">
        <f>IF($A6="","",-1)</f>
        <v>-1</v>
      </c>
      <c r="W6">
        <f>IF($A6="","",-1)</f>
        <v>-1</v>
      </c>
      <c r="X6">
        <f>IF($A6="","",-1)</f>
        <v>-1</v>
      </c>
      <c r="Y6">
        <f>IF($A6="","",-1)</f>
        <v>-1</v>
      </c>
      <c r="Z6">
        <f>IF($A6="","",-1)</f>
        <v>-1</v>
      </c>
      <c r="AA6">
        <f>IF($A6="","",-1)</f>
        <v>-1</v>
      </c>
      <c r="AB6">
        <f>IF($A6="","",-1)</f>
        <v>-1</v>
      </c>
      <c r="AC6">
        <f>IF($A6="","",-1)</f>
        <v>-1</v>
      </c>
      <c r="AD6">
        <f>IF($A6="","",-1)</f>
        <v>-1</v>
      </c>
      <c r="AE6">
        <f>IF($A6="","",-1)</f>
        <v>-1</v>
      </c>
      <c r="AF6">
        <f>IF($A6="","",-1)</f>
        <v>-1</v>
      </c>
      <c r="AG6">
        <f>IF($A6="","",-1)</f>
        <v>-1</v>
      </c>
      <c r="AH6">
        <f>IF($A6="","",-1)</f>
        <v>-1</v>
      </c>
      <c r="AI6">
        <f>IF($A6="","",-1)</f>
        <v>-1</v>
      </c>
      <c r="AJ6">
        <f>IF($A6="","",-1)</f>
        <v>-1</v>
      </c>
      <c r="AK6">
        <f>IF($A6="","",-1)</f>
        <v>-1</v>
      </c>
      <c r="AL6">
        <f>IF($A6="","",-1)</f>
        <v>-1</v>
      </c>
      <c r="AM6">
        <f>IF($A6="","",-1)</f>
        <v>-1</v>
      </c>
      <c r="AN6">
        <f>IF($A6="","",-1)</f>
        <v>-1</v>
      </c>
      <c r="AO6">
        <f>IF($A6="","",-1)</f>
        <v>-1</v>
      </c>
      <c r="AP6">
        <f>IF($A6="","",-1)</f>
        <v>-1</v>
      </c>
      <c r="AQ6">
        <f>IF($A6="","",-1)</f>
        <v>-1</v>
      </c>
      <c r="AR6">
        <f>IF($A6="","",-1)</f>
        <v>-1</v>
      </c>
      <c r="AS6">
        <f>IF($A6="","",-1)</f>
        <v>-1</v>
      </c>
      <c r="AT6">
        <f>IF($A6="","",-1)</f>
        <v>-1</v>
      </c>
    </row>
    <row r="7" spans="1:46">
      <c r="A7">
        <f>发布任务!A7</f>
        <v>8126</v>
      </c>
      <c r="B7" t="str">
        <f>IF(发布任务!B7="","",发布任务!B7)</f>
        <v>资15-军衔任务</v>
      </c>
      <c r="C7">
        <f>IF($A7="","",发布任务!S7)</f>
        <v>40</v>
      </c>
      <c r="D7">
        <f t="shared" ref="D7:D24" si="2">IF($A7="","",-1)</f>
        <v>-1</v>
      </c>
      <c r="E7">
        <f t="shared" ref="E7:E24" si="3">IF($A7="","",-1)</f>
        <v>-1</v>
      </c>
      <c r="F7">
        <f t="shared" ref="F7:F24" si="4">IF($A7="","",-1)</f>
        <v>-1</v>
      </c>
      <c r="G7">
        <f t="shared" ref="G7:G24" si="5">IF($A7="","",-1)</f>
        <v>-1</v>
      </c>
      <c r="H7">
        <f t="shared" ref="H7:H24" si="6">IF($A7="","",-1)</f>
        <v>-1</v>
      </c>
      <c r="I7">
        <f>IF(A7="","",发布任务!Q7)</f>
        <v>8125</v>
      </c>
      <c r="J7">
        <f t="shared" ref="J7:J24" si="7">IF($A7="","",-1)</f>
        <v>-1</v>
      </c>
      <c r="K7">
        <f t="shared" ref="K7:K24" si="8">IF($A7="","",-1)</f>
        <v>-1</v>
      </c>
      <c r="L7">
        <f t="shared" ref="L7:L24" si="9">IF($A7="","",-1)</f>
        <v>-1</v>
      </c>
      <c r="M7">
        <f t="shared" ref="M7:M24" si="10">IF($A7="","",-1)</f>
        <v>-1</v>
      </c>
      <c r="N7">
        <f t="shared" ref="N7:N24" si="11">IF($A7="","",-1)</f>
        <v>-1</v>
      </c>
      <c r="O7">
        <f t="shared" ref="O7:O24" si="12">IF($A7="","",-1)</f>
        <v>-1</v>
      </c>
      <c r="P7">
        <f t="shared" ref="P7:P24" si="13">IF($A7="","",-1)</f>
        <v>-1</v>
      </c>
      <c r="Q7">
        <f t="shared" ref="Q7:Q24" si="14">IF($A7="","",-1)</f>
        <v>-1</v>
      </c>
      <c r="R7">
        <f t="shared" ref="R7:R24" si="15">IF($A7="","",-1)</f>
        <v>-1</v>
      </c>
      <c r="S7">
        <f t="shared" ref="S7:S24" si="16">IF($A7="","",-1)</f>
        <v>-1</v>
      </c>
      <c r="T7">
        <f t="shared" ref="T7:T24" si="17">IF($A7="","",-1)</f>
        <v>-1</v>
      </c>
      <c r="U7">
        <f t="shared" ref="U7:U24" si="18">IF($A7="","",-1)</f>
        <v>-1</v>
      </c>
      <c r="V7">
        <f t="shared" ref="V7:V24" si="19">IF($A7="","",-1)</f>
        <v>-1</v>
      </c>
      <c r="W7">
        <f t="shared" ref="W7:W24" si="20">IF($A7="","",-1)</f>
        <v>-1</v>
      </c>
      <c r="X7">
        <f t="shared" ref="X7:X24" si="21">IF($A7="","",-1)</f>
        <v>-1</v>
      </c>
      <c r="Y7">
        <f t="shared" ref="Y7:Y24" si="22">IF($A7="","",-1)</f>
        <v>-1</v>
      </c>
      <c r="Z7">
        <f t="shared" ref="Z7:Z24" si="23">IF($A7="","",-1)</f>
        <v>-1</v>
      </c>
      <c r="AA7">
        <f t="shared" ref="AA7:AA24" si="24">IF($A7="","",-1)</f>
        <v>-1</v>
      </c>
      <c r="AB7">
        <f t="shared" ref="AB7:AB24" si="25">IF($A7="","",-1)</f>
        <v>-1</v>
      </c>
      <c r="AC7">
        <f t="shared" ref="AC7:AC24" si="26">IF($A7="","",-1)</f>
        <v>-1</v>
      </c>
      <c r="AD7">
        <f t="shared" ref="AD7:AD24" si="27">IF($A7="","",-1)</f>
        <v>-1</v>
      </c>
      <c r="AE7">
        <f t="shared" ref="AE7:AE24" si="28">IF($A7="","",-1)</f>
        <v>-1</v>
      </c>
      <c r="AF7">
        <f t="shared" ref="AF7:AF24" si="29">IF($A7="","",-1)</f>
        <v>-1</v>
      </c>
      <c r="AG7">
        <f t="shared" ref="AG7:AG24" si="30">IF($A7="","",-1)</f>
        <v>-1</v>
      </c>
      <c r="AH7">
        <f t="shared" ref="AH7:AH24" si="31">IF($A7="","",-1)</f>
        <v>-1</v>
      </c>
      <c r="AI7">
        <f t="shared" ref="AI7:AI24" si="32">IF($A7="","",-1)</f>
        <v>-1</v>
      </c>
      <c r="AJ7">
        <f t="shared" ref="AJ7:AJ24" si="33">IF($A7="","",-1)</f>
        <v>-1</v>
      </c>
      <c r="AK7">
        <f t="shared" ref="AK7:AK24" si="34">IF($A7="","",-1)</f>
        <v>-1</v>
      </c>
      <c r="AL7">
        <f t="shared" ref="AL7:AL24" si="35">IF($A7="","",-1)</f>
        <v>-1</v>
      </c>
      <c r="AM7">
        <f t="shared" ref="AM7:AM24" si="36">IF($A7="","",-1)</f>
        <v>-1</v>
      </c>
      <c r="AN7">
        <f t="shared" ref="AN7:AN24" si="37">IF($A7="","",-1)</f>
        <v>-1</v>
      </c>
      <c r="AO7">
        <f t="shared" ref="AO7:AO24" si="38">IF($A7="","",-1)</f>
        <v>-1</v>
      </c>
      <c r="AP7">
        <f t="shared" ref="AP7:AP24" si="39">IF($A7="","",-1)</f>
        <v>-1</v>
      </c>
      <c r="AQ7">
        <f t="shared" ref="AQ7:AQ24" si="40">IF($A7="","",-1)</f>
        <v>-1</v>
      </c>
      <c r="AR7">
        <f t="shared" ref="AR7:AR24" si="41">IF($A7="","",-1)</f>
        <v>-1</v>
      </c>
      <c r="AS7">
        <f t="shared" ref="AS7:AS24" si="42">IF($A7="","",-1)</f>
        <v>-1</v>
      </c>
      <c r="AT7">
        <f t="shared" ref="AT7:AT24" si="43">IF($A7="","",-1)</f>
        <v>-1</v>
      </c>
    </row>
    <row r="8" spans="1:46">
      <c r="A8" t="str">
        <f>发布任务!A8</f>
        <v/>
      </c>
      <c r="B8" t="str">
        <f>IF(发布任务!B8="","",发布任务!B8)</f>
        <v/>
      </c>
      <c r="C8" t="str">
        <f>IF($A8="","",发布任务!S8)</f>
        <v/>
      </c>
      <c r="D8" t="str">
        <f t="shared" si="2"/>
        <v/>
      </c>
      <c r="E8" t="str">
        <f t="shared" si="3"/>
        <v/>
      </c>
      <c r="F8" t="str">
        <f t="shared" si="4"/>
        <v/>
      </c>
      <c r="G8" t="str">
        <f t="shared" si="5"/>
        <v/>
      </c>
      <c r="H8" t="str">
        <f t="shared" si="6"/>
        <v/>
      </c>
      <c r="I8" t="str">
        <f>IF(A8="","",发布任务!Q8)</f>
        <v/>
      </c>
      <c r="J8" t="str">
        <f t="shared" si="7"/>
        <v/>
      </c>
      <c r="K8" t="str">
        <f t="shared" si="8"/>
        <v/>
      </c>
      <c r="L8" t="str">
        <f t="shared" si="9"/>
        <v/>
      </c>
      <c r="M8" t="str">
        <f t="shared" si="10"/>
        <v/>
      </c>
      <c r="N8" t="str">
        <f t="shared" si="11"/>
        <v/>
      </c>
      <c r="O8" t="str">
        <f t="shared" si="12"/>
        <v/>
      </c>
      <c r="P8" t="str">
        <f t="shared" si="13"/>
        <v/>
      </c>
      <c r="Q8" t="str">
        <f t="shared" si="14"/>
        <v/>
      </c>
      <c r="R8" t="str">
        <f t="shared" si="15"/>
        <v/>
      </c>
      <c r="S8" t="str">
        <f t="shared" si="16"/>
        <v/>
      </c>
      <c r="T8" t="str">
        <f t="shared" si="17"/>
        <v/>
      </c>
      <c r="U8" t="str">
        <f t="shared" si="18"/>
        <v/>
      </c>
      <c r="V8" t="str">
        <f t="shared" si="19"/>
        <v/>
      </c>
      <c r="W8" t="str">
        <f t="shared" si="20"/>
        <v/>
      </c>
      <c r="X8" t="str">
        <f t="shared" si="21"/>
        <v/>
      </c>
      <c r="Y8" t="str">
        <f t="shared" si="22"/>
        <v/>
      </c>
      <c r="Z8" t="str">
        <f t="shared" si="23"/>
        <v/>
      </c>
      <c r="AA8" t="str">
        <f t="shared" si="24"/>
        <v/>
      </c>
      <c r="AB8" t="str">
        <f t="shared" si="25"/>
        <v/>
      </c>
      <c r="AC8" t="str">
        <f t="shared" si="26"/>
        <v/>
      </c>
      <c r="AD8" t="str">
        <f t="shared" si="27"/>
        <v/>
      </c>
      <c r="AE8" t="str">
        <f t="shared" si="28"/>
        <v/>
      </c>
      <c r="AF8" t="str">
        <f t="shared" si="29"/>
        <v/>
      </c>
      <c r="AG8" t="str">
        <f t="shared" si="30"/>
        <v/>
      </c>
      <c r="AH8" t="str">
        <f t="shared" si="31"/>
        <v/>
      </c>
      <c r="AI8" t="str">
        <f t="shared" si="32"/>
        <v/>
      </c>
      <c r="AJ8" t="str">
        <f t="shared" si="33"/>
        <v/>
      </c>
      <c r="AK8" t="str">
        <f t="shared" si="34"/>
        <v/>
      </c>
      <c r="AL8" t="str">
        <f t="shared" si="35"/>
        <v/>
      </c>
      <c r="AM8" t="str">
        <f t="shared" si="36"/>
        <v/>
      </c>
      <c r="AN8" t="str">
        <f t="shared" si="37"/>
        <v/>
      </c>
      <c r="AO8" t="str">
        <f t="shared" si="38"/>
        <v/>
      </c>
      <c r="AP8" t="str">
        <f t="shared" si="39"/>
        <v/>
      </c>
      <c r="AQ8" t="str">
        <f t="shared" si="40"/>
        <v/>
      </c>
      <c r="AR8" t="str">
        <f t="shared" si="41"/>
        <v/>
      </c>
      <c r="AS8" t="str">
        <f t="shared" si="42"/>
        <v/>
      </c>
      <c r="AT8" t="str">
        <f t="shared" si="43"/>
        <v/>
      </c>
    </row>
    <row r="9" spans="1:46">
      <c r="A9" t="str">
        <f>发布任务!A9</f>
        <v/>
      </c>
      <c r="B9" t="str">
        <f>IF(发布任务!B9="","",发布任务!B9)</f>
        <v/>
      </c>
      <c r="C9" t="str">
        <f>IF($A9="","",发布任务!S9)</f>
        <v/>
      </c>
      <c r="D9" t="str">
        <f t="shared" si="2"/>
        <v/>
      </c>
      <c r="E9" t="str">
        <f t="shared" si="3"/>
        <v/>
      </c>
      <c r="F9" t="str">
        <f t="shared" si="4"/>
        <v/>
      </c>
      <c r="G9" t="str">
        <f t="shared" si="5"/>
        <v/>
      </c>
      <c r="H9" t="str">
        <f t="shared" si="6"/>
        <v/>
      </c>
      <c r="I9" t="str">
        <f>IF(A9="","",发布任务!Q9)</f>
        <v/>
      </c>
      <c r="J9" t="str">
        <f t="shared" si="7"/>
        <v/>
      </c>
      <c r="K9" t="str">
        <f t="shared" si="8"/>
        <v/>
      </c>
      <c r="L9" t="str">
        <f t="shared" si="9"/>
        <v/>
      </c>
      <c r="M9" t="str">
        <f t="shared" si="10"/>
        <v/>
      </c>
      <c r="N9" t="str">
        <f t="shared" si="11"/>
        <v/>
      </c>
      <c r="O9" t="str">
        <f t="shared" si="12"/>
        <v/>
      </c>
      <c r="P9" t="str">
        <f t="shared" si="13"/>
        <v/>
      </c>
      <c r="Q9" t="str">
        <f t="shared" si="14"/>
        <v/>
      </c>
      <c r="R9" t="str">
        <f t="shared" si="15"/>
        <v/>
      </c>
      <c r="S9" t="str">
        <f t="shared" si="16"/>
        <v/>
      </c>
      <c r="T9" t="str">
        <f t="shared" si="17"/>
        <v/>
      </c>
      <c r="U9" t="str">
        <f t="shared" si="18"/>
        <v/>
      </c>
      <c r="V9" t="str">
        <f t="shared" si="19"/>
        <v/>
      </c>
      <c r="W9" t="str">
        <f t="shared" si="20"/>
        <v/>
      </c>
      <c r="X9" t="str">
        <f t="shared" si="21"/>
        <v/>
      </c>
      <c r="Y9" t="str">
        <f t="shared" si="22"/>
        <v/>
      </c>
      <c r="Z9" t="str">
        <f t="shared" si="23"/>
        <v/>
      </c>
      <c r="AA9" t="str">
        <f t="shared" si="24"/>
        <v/>
      </c>
      <c r="AB9" t="str">
        <f t="shared" si="25"/>
        <v/>
      </c>
      <c r="AC9" t="str">
        <f t="shared" si="26"/>
        <v/>
      </c>
      <c r="AD9" t="str">
        <f t="shared" si="27"/>
        <v/>
      </c>
      <c r="AE9" t="str">
        <f t="shared" si="28"/>
        <v/>
      </c>
      <c r="AF9" t="str">
        <f t="shared" si="29"/>
        <v/>
      </c>
      <c r="AG9" t="str">
        <f t="shared" si="30"/>
        <v/>
      </c>
      <c r="AH9" t="str">
        <f t="shared" si="31"/>
        <v/>
      </c>
      <c r="AI9" t="str">
        <f t="shared" si="32"/>
        <v/>
      </c>
      <c r="AJ9" t="str">
        <f t="shared" si="33"/>
        <v/>
      </c>
      <c r="AK9" t="str">
        <f t="shared" si="34"/>
        <v/>
      </c>
      <c r="AL9" t="str">
        <f t="shared" si="35"/>
        <v/>
      </c>
      <c r="AM9" t="str">
        <f t="shared" si="36"/>
        <v/>
      </c>
      <c r="AN9" t="str">
        <f t="shared" si="37"/>
        <v/>
      </c>
      <c r="AO9" t="str">
        <f t="shared" si="38"/>
        <v/>
      </c>
      <c r="AP9" t="str">
        <f t="shared" si="39"/>
        <v/>
      </c>
      <c r="AQ9" t="str">
        <f t="shared" si="40"/>
        <v/>
      </c>
      <c r="AR9" t="str">
        <f t="shared" si="41"/>
        <v/>
      </c>
      <c r="AS9" t="str">
        <f t="shared" si="42"/>
        <v/>
      </c>
      <c r="AT9" t="str">
        <f t="shared" si="43"/>
        <v/>
      </c>
    </row>
    <row r="10" spans="1:46">
      <c r="A10" t="str">
        <f>发布任务!A10</f>
        <v/>
      </c>
      <c r="B10" t="str">
        <f>IF(发布任务!B10="","",发布任务!B10)</f>
        <v/>
      </c>
      <c r="C10" t="str">
        <f>IF($A10="","",发布任务!S10)</f>
        <v/>
      </c>
      <c r="D10" t="str">
        <f t="shared" si="2"/>
        <v/>
      </c>
      <c r="E10" t="str">
        <f t="shared" si="3"/>
        <v/>
      </c>
      <c r="F10" t="str">
        <f t="shared" si="4"/>
        <v/>
      </c>
      <c r="G10" t="str">
        <f t="shared" si="5"/>
        <v/>
      </c>
      <c r="H10" t="str">
        <f t="shared" si="6"/>
        <v/>
      </c>
      <c r="I10" t="str">
        <f>IF(A10="","",发布任务!Q10)</f>
        <v/>
      </c>
      <c r="J10" t="str">
        <f t="shared" si="7"/>
        <v/>
      </c>
      <c r="K10" t="str">
        <f t="shared" si="8"/>
        <v/>
      </c>
      <c r="L10" t="str">
        <f t="shared" si="9"/>
        <v/>
      </c>
      <c r="M10" t="str">
        <f t="shared" si="10"/>
        <v/>
      </c>
      <c r="N10" t="str">
        <f t="shared" si="11"/>
        <v/>
      </c>
      <c r="O10" t="str">
        <f t="shared" si="12"/>
        <v/>
      </c>
      <c r="P10" t="str">
        <f t="shared" si="13"/>
        <v/>
      </c>
      <c r="Q10" t="str">
        <f t="shared" si="14"/>
        <v/>
      </c>
      <c r="R10" t="str">
        <f t="shared" si="15"/>
        <v/>
      </c>
      <c r="S10" t="str">
        <f t="shared" si="16"/>
        <v/>
      </c>
      <c r="T10" t="str">
        <f t="shared" si="17"/>
        <v/>
      </c>
      <c r="U10" t="str">
        <f t="shared" si="18"/>
        <v/>
      </c>
      <c r="V10" t="str">
        <f t="shared" si="19"/>
        <v/>
      </c>
      <c r="W10" t="str">
        <f t="shared" si="20"/>
        <v/>
      </c>
      <c r="X10" t="str">
        <f t="shared" si="21"/>
        <v/>
      </c>
      <c r="Y10" t="str">
        <f t="shared" si="22"/>
        <v/>
      </c>
      <c r="Z10" t="str">
        <f t="shared" si="23"/>
        <v/>
      </c>
      <c r="AA10" t="str">
        <f t="shared" si="24"/>
        <v/>
      </c>
      <c r="AB10" t="str">
        <f t="shared" si="25"/>
        <v/>
      </c>
      <c r="AC10" t="str">
        <f t="shared" si="26"/>
        <v/>
      </c>
      <c r="AD10" t="str">
        <f t="shared" si="27"/>
        <v/>
      </c>
      <c r="AE10" t="str">
        <f t="shared" si="28"/>
        <v/>
      </c>
      <c r="AF10" t="str">
        <f t="shared" si="29"/>
        <v/>
      </c>
      <c r="AG10" t="str">
        <f t="shared" si="30"/>
        <v/>
      </c>
      <c r="AH10" t="str">
        <f t="shared" si="31"/>
        <v/>
      </c>
      <c r="AI10" t="str">
        <f t="shared" si="32"/>
        <v/>
      </c>
      <c r="AJ10" t="str">
        <f t="shared" si="33"/>
        <v/>
      </c>
      <c r="AK10" t="str">
        <f t="shared" si="34"/>
        <v/>
      </c>
      <c r="AL10" t="str">
        <f t="shared" si="35"/>
        <v/>
      </c>
      <c r="AM10" t="str">
        <f t="shared" si="36"/>
        <v/>
      </c>
      <c r="AN10" t="str">
        <f t="shared" si="37"/>
        <v/>
      </c>
      <c r="AO10" t="str">
        <f t="shared" si="38"/>
        <v/>
      </c>
      <c r="AP10" t="str">
        <f t="shared" si="39"/>
        <v/>
      </c>
      <c r="AQ10" t="str">
        <f t="shared" si="40"/>
        <v/>
      </c>
      <c r="AR10" t="str">
        <f t="shared" si="41"/>
        <v/>
      </c>
      <c r="AS10" t="str">
        <f t="shared" si="42"/>
        <v/>
      </c>
      <c r="AT10" t="str">
        <f t="shared" si="43"/>
        <v/>
      </c>
    </row>
    <row r="11" spans="1:46">
      <c r="A11" t="str">
        <f>发布任务!A11</f>
        <v/>
      </c>
      <c r="B11" t="str">
        <f>IF(发布任务!B11="","",发布任务!B11)</f>
        <v/>
      </c>
      <c r="C11" t="str">
        <f>IF($A11="","",发布任务!S11)</f>
        <v/>
      </c>
      <c r="D11" t="str">
        <f t="shared" si="2"/>
        <v/>
      </c>
      <c r="E11" t="str">
        <f t="shared" si="3"/>
        <v/>
      </c>
      <c r="F11" t="str">
        <f t="shared" si="4"/>
        <v/>
      </c>
      <c r="G11" t="str">
        <f t="shared" si="5"/>
        <v/>
      </c>
      <c r="H11" t="str">
        <f t="shared" si="6"/>
        <v/>
      </c>
      <c r="I11" t="str">
        <f>IF(A11="","",发布任务!Q11)</f>
        <v/>
      </c>
      <c r="J11" t="str">
        <f t="shared" si="7"/>
        <v/>
      </c>
      <c r="K11" t="str">
        <f t="shared" si="8"/>
        <v/>
      </c>
      <c r="L11" t="str">
        <f t="shared" si="9"/>
        <v/>
      </c>
      <c r="M11" t="str">
        <f t="shared" si="10"/>
        <v/>
      </c>
      <c r="N11" t="str">
        <f t="shared" si="11"/>
        <v/>
      </c>
      <c r="O11" t="str">
        <f t="shared" si="12"/>
        <v/>
      </c>
      <c r="P11" t="str">
        <f t="shared" si="13"/>
        <v/>
      </c>
      <c r="Q11" t="str">
        <f t="shared" si="14"/>
        <v/>
      </c>
      <c r="R11" t="str">
        <f t="shared" si="15"/>
        <v/>
      </c>
      <c r="S11" t="str">
        <f t="shared" si="16"/>
        <v/>
      </c>
      <c r="T11" t="str">
        <f t="shared" si="17"/>
        <v/>
      </c>
      <c r="U11" t="str">
        <f t="shared" si="18"/>
        <v/>
      </c>
      <c r="V11" t="str">
        <f t="shared" si="19"/>
        <v/>
      </c>
      <c r="W11" t="str">
        <f t="shared" si="20"/>
        <v/>
      </c>
      <c r="X11" t="str">
        <f t="shared" si="21"/>
        <v/>
      </c>
      <c r="Y11" t="str">
        <f t="shared" si="22"/>
        <v/>
      </c>
      <c r="Z11" t="str">
        <f t="shared" si="23"/>
        <v/>
      </c>
      <c r="AA11" t="str">
        <f t="shared" si="24"/>
        <v/>
      </c>
      <c r="AB11" t="str">
        <f t="shared" si="25"/>
        <v/>
      </c>
      <c r="AC11" t="str">
        <f t="shared" si="26"/>
        <v/>
      </c>
      <c r="AD11" t="str">
        <f t="shared" si="27"/>
        <v/>
      </c>
      <c r="AE11" t="str">
        <f t="shared" si="28"/>
        <v/>
      </c>
      <c r="AF11" t="str">
        <f t="shared" si="29"/>
        <v/>
      </c>
      <c r="AG11" t="str">
        <f t="shared" si="30"/>
        <v/>
      </c>
      <c r="AH11" t="str">
        <f t="shared" si="31"/>
        <v/>
      </c>
      <c r="AI11" t="str">
        <f t="shared" si="32"/>
        <v/>
      </c>
      <c r="AJ11" t="str">
        <f t="shared" si="33"/>
        <v/>
      </c>
      <c r="AK11" t="str">
        <f t="shared" si="34"/>
        <v/>
      </c>
      <c r="AL11" t="str">
        <f t="shared" si="35"/>
        <v/>
      </c>
      <c r="AM11" t="str">
        <f t="shared" si="36"/>
        <v/>
      </c>
      <c r="AN11" t="str">
        <f t="shared" si="37"/>
        <v/>
      </c>
      <c r="AO11" t="str">
        <f t="shared" si="38"/>
        <v/>
      </c>
      <c r="AP11" t="str">
        <f t="shared" si="39"/>
        <v/>
      </c>
      <c r="AQ11" t="str">
        <f t="shared" si="40"/>
        <v/>
      </c>
      <c r="AR11" t="str">
        <f t="shared" si="41"/>
        <v/>
      </c>
      <c r="AS11" t="str">
        <f t="shared" si="42"/>
        <v/>
      </c>
      <c r="AT11" t="str">
        <f t="shared" si="43"/>
        <v/>
      </c>
    </row>
    <row r="12" spans="1:46">
      <c r="A12" t="str">
        <f>发布任务!A12</f>
        <v/>
      </c>
      <c r="B12" t="str">
        <f>IF(发布任务!B12="","",发布任务!B12)</f>
        <v/>
      </c>
      <c r="C12" t="str">
        <f>IF($A12="","",发布任务!S12)</f>
        <v/>
      </c>
      <c r="D12" t="str">
        <f t="shared" si="2"/>
        <v/>
      </c>
      <c r="E12" t="str">
        <f t="shared" si="3"/>
        <v/>
      </c>
      <c r="F12" t="str">
        <f t="shared" si="4"/>
        <v/>
      </c>
      <c r="G12" t="str">
        <f t="shared" si="5"/>
        <v/>
      </c>
      <c r="H12" t="str">
        <f t="shared" si="6"/>
        <v/>
      </c>
      <c r="I12" t="str">
        <f>IF(A12="","",发布任务!Q12)</f>
        <v/>
      </c>
      <c r="J12" t="str">
        <f t="shared" si="7"/>
        <v/>
      </c>
      <c r="K12" t="str">
        <f t="shared" si="8"/>
        <v/>
      </c>
      <c r="L12" t="str">
        <f t="shared" si="9"/>
        <v/>
      </c>
      <c r="M12" t="str">
        <f t="shared" si="10"/>
        <v/>
      </c>
      <c r="N12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R12" t="str">
        <f t="shared" si="15"/>
        <v/>
      </c>
      <c r="S12" t="str">
        <f t="shared" si="16"/>
        <v/>
      </c>
      <c r="T12" t="str">
        <f t="shared" si="17"/>
        <v/>
      </c>
      <c r="U12" t="str">
        <f t="shared" si="18"/>
        <v/>
      </c>
      <c r="V12" t="str">
        <f t="shared" si="19"/>
        <v/>
      </c>
      <c r="W12" t="str">
        <f t="shared" si="20"/>
        <v/>
      </c>
      <c r="X12" t="str">
        <f t="shared" si="21"/>
        <v/>
      </c>
      <c r="Y12" t="str">
        <f t="shared" si="22"/>
        <v/>
      </c>
      <c r="Z12" t="str">
        <f t="shared" si="23"/>
        <v/>
      </c>
      <c r="AA12" t="str">
        <f t="shared" si="24"/>
        <v/>
      </c>
      <c r="AB12" t="str">
        <f t="shared" si="25"/>
        <v/>
      </c>
      <c r="AC12" t="str">
        <f t="shared" si="26"/>
        <v/>
      </c>
      <c r="AD12" t="str">
        <f t="shared" si="27"/>
        <v/>
      </c>
      <c r="AE12" t="str">
        <f t="shared" si="28"/>
        <v/>
      </c>
      <c r="AF12" t="str">
        <f t="shared" si="29"/>
        <v/>
      </c>
      <c r="AG12" t="str">
        <f t="shared" si="30"/>
        <v/>
      </c>
      <c r="AH12" t="str">
        <f t="shared" si="31"/>
        <v/>
      </c>
      <c r="AI12" t="str">
        <f t="shared" si="32"/>
        <v/>
      </c>
      <c r="AJ12" t="str">
        <f t="shared" si="33"/>
        <v/>
      </c>
      <c r="AK12" t="str">
        <f t="shared" si="34"/>
        <v/>
      </c>
      <c r="AL12" t="str">
        <f t="shared" si="35"/>
        <v/>
      </c>
      <c r="AM12" t="str">
        <f t="shared" si="36"/>
        <v/>
      </c>
      <c r="AN12" t="str">
        <f t="shared" si="37"/>
        <v/>
      </c>
      <c r="AO12" t="str">
        <f t="shared" si="38"/>
        <v/>
      </c>
      <c r="AP12" t="str">
        <f t="shared" si="39"/>
        <v/>
      </c>
      <c r="AQ12" t="str">
        <f t="shared" si="40"/>
        <v/>
      </c>
      <c r="AR12" t="str">
        <f t="shared" si="41"/>
        <v/>
      </c>
      <c r="AS12" t="str">
        <f t="shared" si="42"/>
        <v/>
      </c>
      <c r="AT12" t="str">
        <f t="shared" si="43"/>
        <v/>
      </c>
    </row>
    <row r="13" spans="1:46">
      <c r="A13" t="str">
        <f>发布任务!A13</f>
        <v/>
      </c>
      <c r="B13" t="str">
        <f>IF(发布任务!B13="","",发布任务!B13)</f>
        <v/>
      </c>
      <c r="C13" t="str">
        <f>IF($A13="","",发布任务!S13)</f>
        <v/>
      </c>
      <c r="D13" t="str">
        <f t="shared" si="2"/>
        <v/>
      </c>
      <c r="E13" t="str">
        <f t="shared" si="3"/>
        <v/>
      </c>
      <c r="F13" t="str">
        <f t="shared" si="4"/>
        <v/>
      </c>
      <c r="G13" t="str">
        <f t="shared" si="5"/>
        <v/>
      </c>
      <c r="H13" t="str">
        <f t="shared" si="6"/>
        <v/>
      </c>
      <c r="I13" t="str">
        <f>IF(A13="","",发布任务!Q13)</f>
        <v/>
      </c>
      <c r="J13" t="str">
        <f t="shared" si="7"/>
        <v/>
      </c>
      <c r="K13" t="str">
        <f t="shared" si="8"/>
        <v/>
      </c>
      <c r="L13" t="str">
        <f t="shared" si="9"/>
        <v/>
      </c>
      <c r="M13" t="str">
        <f t="shared" si="10"/>
        <v/>
      </c>
      <c r="N13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R13" t="str">
        <f t="shared" si="15"/>
        <v/>
      </c>
      <c r="S13" t="str">
        <f t="shared" si="16"/>
        <v/>
      </c>
      <c r="T13" t="str">
        <f t="shared" si="17"/>
        <v/>
      </c>
      <c r="U13" t="str">
        <f t="shared" si="18"/>
        <v/>
      </c>
      <c r="V13" t="str">
        <f t="shared" si="19"/>
        <v/>
      </c>
      <c r="W13" t="str">
        <f t="shared" si="20"/>
        <v/>
      </c>
      <c r="X13" t="str">
        <f t="shared" si="21"/>
        <v/>
      </c>
      <c r="Y13" t="str">
        <f t="shared" si="22"/>
        <v/>
      </c>
      <c r="Z13" t="str">
        <f t="shared" si="23"/>
        <v/>
      </c>
      <c r="AA13" t="str">
        <f t="shared" si="24"/>
        <v/>
      </c>
      <c r="AB13" t="str">
        <f t="shared" si="25"/>
        <v/>
      </c>
      <c r="AC13" t="str">
        <f t="shared" si="26"/>
        <v/>
      </c>
      <c r="AD13" t="str">
        <f t="shared" si="27"/>
        <v/>
      </c>
      <c r="AE13" t="str">
        <f t="shared" si="28"/>
        <v/>
      </c>
      <c r="AF13" t="str">
        <f t="shared" si="29"/>
        <v/>
      </c>
      <c r="AG13" t="str">
        <f t="shared" si="30"/>
        <v/>
      </c>
      <c r="AH13" t="str">
        <f t="shared" si="31"/>
        <v/>
      </c>
      <c r="AI13" t="str">
        <f t="shared" si="32"/>
        <v/>
      </c>
      <c r="AJ13" t="str">
        <f t="shared" si="33"/>
        <v/>
      </c>
      <c r="AK13" t="str">
        <f t="shared" si="34"/>
        <v/>
      </c>
      <c r="AL13" t="str">
        <f t="shared" si="35"/>
        <v/>
      </c>
      <c r="AM13" t="str">
        <f t="shared" si="36"/>
        <v/>
      </c>
      <c r="AN13" t="str">
        <f t="shared" si="37"/>
        <v/>
      </c>
      <c r="AO13" t="str">
        <f t="shared" si="38"/>
        <v/>
      </c>
      <c r="AP13" t="str">
        <f t="shared" si="39"/>
        <v/>
      </c>
      <c r="AQ13" t="str">
        <f t="shared" si="40"/>
        <v/>
      </c>
      <c r="AR13" t="str">
        <f t="shared" si="41"/>
        <v/>
      </c>
      <c r="AS13" t="str">
        <f t="shared" si="42"/>
        <v/>
      </c>
      <c r="AT13" t="str">
        <f t="shared" si="43"/>
        <v/>
      </c>
    </row>
    <row r="14" spans="1:46">
      <c r="A14" t="str">
        <f>发布任务!A14</f>
        <v/>
      </c>
      <c r="B14" t="str">
        <f>IF(发布任务!B14="","",发布任务!B14)</f>
        <v/>
      </c>
      <c r="C14" t="str">
        <f>IF($A14="","",发布任务!S14)</f>
        <v/>
      </c>
      <c r="D14" t="str">
        <f t="shared" si="2"/>
        <v/>
      </c>
      <c r="E14" t="str">
        <f t="shared" si="3"/>
        <v/>
      </c>
      <c r="F14" t="str">
        <f t="shared" si="4"/>
        <v/>
      </c>
      <c r="G14" t="str">
        <f t="shared" si="5"/>
        <v/>
      </c>
      <c r="H14" t="str">
        <f t="shared" si="6"/>
        <v/>
      </c>
      <c r="I14" t="str">
        <f>IF(A14="","",发布任务!Q14)</f>
        <v/>
      </c>
      <c r="J14" t="str">
        <f t="shared" si="7"/>
        <v/>
      </c>
      <c r="K14" t="str">
        <f t="shared" si="8"/>
        <v/>
      </c>
      <c r="L14" t="str">
        <f t="shared" si="9"/>
        <v/>
      </c>
      <c r="M14" t="str">
        <f t="shared" si="10"/>
        <v/>
      </c>
      <c r="N14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R14" t="str">
        <f t="shared" si="15"/>
        <v/>
      </c>
      <c r="S14" t="str">
        <f t="shared" si="16"/>
        <v/>
      </c>
      <c r="T14" t="str">
        <f t="shared" si="17"/>
        <v/>
      </c>
      <c r="U14" t="str">
        <f t="shared" si="18"/>
        <v/>
      </c>
      <c r="V14" t="str">
        <f t="shared" si="19"/>
        <v/>
      </c>
      <c r="W14" t="str">
        <f t="shared" si="20"/>
        <v/>
      </c>
      <c r="X14" t="str">
        <f t="shared" si="21"/>
        <v/>
      </c>
      <c r="Y14" t="str">
        <f t="shared" si="22"/>
        <v/>
      </c>
      <c r="Z14" t="str">
        <f t="shared" si="23"/>
        <v/>
      </c>
      <c r="AA14" t="str">
        <f t="shared" si="24"/>
        <v/>
      </c>
      <c r="AB14" t="str">
        <f t="shared" si="25"/>
        <v/>
      </c>
      <c r="AC14" t="str">
        <f t="shared" si="26"/>
        <v/>
      </c>
      <c r="AD14" t="str">
        <f t="shared" si="27"/>
        <v/>
      </c>
      <c r="AE14" t="str">
        <f t="shared" si="28"/>
        <v/>
      </c>
      <c r="AF14" t="str">
        <f t="shared" si="29"/>
        <v/>
      </c>
      <c r="AG14" t="str">
        <f t="shared" si="30"/>
        <v/>
      </c>
      <c r="AH14" t="str">
        <f t="shared" si="31"/>
        <v/>
      </c>
      <c r="AI14" t="str">
        <f t="shared" si="32"/>
        <v/>
      </c>
      <c r="AJ14" t="str">
        <f t="shared" si="33"/>
        <v/>
      </c>
      <c r="AK14" t="str">
        <f t="shared" si="34"/>
        <v/>
      </c>
      <c r="AL14" t="str">
        <f t="shared" si="35"/>
        <v/>
      </c>
      <c r="AM14" t="str">
        <f t="shared" si="36"/>
        <v/>
      </c>
      <c r="AN14" t="str">
        <f t="shared" si="37"/>
        <v/>
      </c>
      <c r="AO14" t="str">
        <f t="shared" si="38"/>
        <v/>
      </c>
      <c r="AP14" t="str">
        <f t="shared" si="39"/>
        <v/>
      </c>
      <c r="AQ14" t="str">
        <f t="shared" si="40"/>
        <v/>
      </c>
      <c r="AR14" t="str">
        <f t="shared" si="41"/>
        <v/>
      </c>
      <c r="AS14" t="str">
        <f t="shared" si="42"/>
        <v/>
      </c>
      <c r="AT14" t="str">
        <f t="shared" si="43"/>
        <v/>
      </c>
    </row>
    <row r="15" spans="1:46">
      <c r="A15" t="str">
        <f>发布任务!A15</f>
        <v/>
      </c>
      <c r="B15" t="str">
        <f>IF(发布任务!B15="","",发布任务!B15)</f>
        <v/>
      </c>
      <c r="C15" t="str">
        <f>IF($A15="","",发布任务!S15)</f>
        <v/>
      </c>
      <c r="D15" t="str">
        <f t="shared" si="2"/>
        <v/>
      </c>
      <c r="E15" t="str">
        <f t="shared" si="3"/>
        <v/>
      </c>
      <c r="F15" t="str">
        <f t="shared" si="4"/>
        <v/>
      </c>
      <c r="G15" t="str">
        <f t="shared" si="5"/>
        <v/>
      </c>
      <c r="H15" t="str">
        <f t="shared" si="6"/>
        <v/>
      </c>
      <c r="I15" t="str">
        <f>IF(A15="","",发布任务!Q15)</f>
        <v/>
      </c>
      <c r="J15" t="str">
        <f t="shared" si="7"/>
        <v/>
      </c>
      <c r="K15" t="str">
        <f t="shared" si="8"/>
        <v/>
      </c>
      <c r="L15" t="str">
        <f t="shared" si="9"/>
        <v/>
      </c>
      <c r="M15" t="str">
        <f t="shared" si="10"/>
        <v/>
      </c>
      <c r="N15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R15" t="str">
        <f t="shared" si="15"/>
        <v/>
      </c>
      <c r="S15" t="str">
        <f t="shared" si="16"/>
        <v/>
      </c>
      <c r="T15" t="str">
        <f t="shared" si="17"/>
        <v/>
      </c>
      <c r="U15" t="str">
        <f t="shared" si="18"/>
        <v/>
      </c>
      <c r="V15" t="str">
        <f t="shared" si="19"/>
        <v/>
      </c>
      <c r="W15" t="str">
        <f t="shared" si="20"/>
        <v/>
      </c>
      <c r="X15" t="str">
        <f t="shared" si="21"/>
        <v/>
      </c>
      <c r="Y15" t="str">
        <f t="shared" si="22"/>
        <v/>
      </c>
      <c r="Z15" t="str">
        <f t="shared" si="23"/>
        <v/>
      </c>
      <c r="AA15" t="str">
        <f t="shared" si="24"/>
        <v/>
      </c>
      <c r="AB15" t="str">
        <f t="shared" si="25"/>
        <v/>
      </c>
      <c r="AC15" t="str">
        <f t="shared" si="26"/>
        <v/>
      </c>
      <c r="AD15" t="str">
        <f t="shared" si="27"/>
        <v/>
      </c>
      <c r="AE15" t="str">
        <f t="shared" si="28"/>
        <v/>
      </c>
      <c r="AF15" t="str">
        <f t="shared" si="29"/>
        <v/>
      </c>
      <c r="AG15" t="str">
        <f t="shared" si="30"/>
        <v/>
      </c>
      <c r="AH15" t="str">
        <f t="shared" si="31"/>
        <v/>
      </c>
      <c r="AI15" t="str">
        <f t="shared" si="32"/>
        <v/>
      </c>
      <c r="AJ15" t="str">
        <f t="shared" si="33"/>
        <v/>
      </c>
      <c r="AK15" t="str">
        <f t="shared" si="34"/>
        <v/>
      </c>
      <c r="AL15" t="str">
        <f t="shared" si="35"/>
        <v/>
      </c>
      <c r="AM15" t="str">
        <f t="shared" si="36"/>
        <v/>
      </c>
      <c r="AN15" t="str">
        <f t="shared" si="37"/>
        <v/>
      </c>
      <c r="AO15" t="str">
        <f t="shared" si="38"/>
        <v/>
      </c>
      <c r="AP15" t="str">
        <f t="shared" si="39"/>
        <v/>
      </c>
      <c r="AQ15" t="str">
        <f t="shared" si="40"/>
        <v/>
      </c>
      <c r="AR15" t="str">
        <f t="shared" si="41"/>
        <v/>
      </c>
      <c r="AS15" t="str">
        <f t="shared" si="42"/>
        <v/>
      </c>
      <c r="AT15" t="str">
        <f t="shared" si="43"/>
        <v/>
      </c>
    </row>
    <row r="16" spans="1:46">
      <c r="A16" t="str">
        <f>发布任务!A16</f>
        <v/>
      </c>
      <c r="B16" t="str">
        <f>IF(发布任务!B16="","",发布任务!B16)</f>
        <v/>
      </c>
      <c r="C16" t="str">
        <f>IF($A16="","",发布任务!S16)</f>
        <v/>
      </c>
      <c r="D16" t="str">
        <f t="shared" si="2"/>
        <v/>
      </c>
      <c r="E16" t="str">
        <f t="shared" si="3"/>
        <v/>
      </c>
      <c r="F16" t="str">
        <f t="shared" si="4"/>
        <v/>
      </c>
      <c r="G16" t="str">
        <f t="shared" si="5"/>
        <v/>
      </c>
      <c r="H16" t="str">
        <f t="shared" si="6"/>
        <v/>
      </c>
      <c r="I16" t="str">
        <f>IF(A16="","",发布任务!Q16)</f>
        <v/>
      </c>
      <c r="J16" t="str">
        <f t="shared" si="7"/>
        <v/>
      </c>
      <c r="K16" t="str">
        <f t="shared" si="8"/>
        <v/>
      </c>
      <c r="L16" t="str">
        <f t="shared" si="9"/>
        <v/>
      </c>
      <c r="M16" t="str">
        <f t="shared" si="10"/>
        <v/>
      </c>
      <c r="N16" t="str">
        <f t="shared" si="11"/>
        <v/>
      </c>
      <c r="O16" t="str">
        <f t="shared" si="12"/>
        <v/>
      </c>
      <c r="P16" t="str">
        <f t="shared" si="13"/>
        <v/>
      </c>
      <c r="Q16" t="str">
        <f t="shared" si="14"/>
        <v/>
      </c>
      <c r="R16" t="str">
        <f t="shared" si="15"/>
        <v/>
      </c>
      <c r="S16" t="str">
        <f t="shared" si="16"/>
        <v/>
      </c>
      <c r="T16" t="str">
        <f t="shared" si="17"/>
        <v/>
      </c>
      <c r="U16" t="str">
        <f t="shared" si="18"/>
        <v/>
      </c>
      <c r="V16" t="str">
        <f t="shared" si="19"/>
        <v/>
      </c>
      <c r="W16" t="str">
        <f t="shared" si="20"/>
        <v/>
      </c>
      <c r="X16" t="str">
        <f t="shared" si="21"/>
        <v/>
      </c>
      <c r="Y16" t="str">
        <f t="shared" si="22"/>
        <v/>
      </c>
      <c r="Z16" t="str">
        <f t="shared" si="23"/>
        <v/>
      </c>
      <c r="AA16" t="str">
        <f t="shared" si="24"/>
        <v/>
      </c>
      <c r="AB16" t="str">
        <f t="shared" si="25"/>
        <v/>
      </c>
      <c r="AC16" t="str">
        <f t="shared" si="26"/>
        <v/>
      </c>
      <c r="AD16" t="str">
        <f t="shared" si="27"/>
        <v/>
      </c>
      <c r="AE16" t="str">
        <f t="shared" si="28"/>
        <v/>
      </c>
      <c r="AF16" t="str">
        <f t="shared" si="29"/>
        <v/>
      </c>
      <c r="AG16" t="str">
        <f t="shared" si="30"/>
        <v/>
      </c>
      <c r="AH16" t="str">
        <f t="shared" si="31"/>
        <v/>
      </c>
      <c r="AI16" t="str">
        <f t="shared" si="32"/>
        <v/>
      </c>
      <c r="AJ16" t="str">
        <f t="shared" si="33"/>
        <v/>
      </c>
      <c r="AK16" t="str">
        <f t="shared" si="34"/>
        <v/>
      </c>
      <c r="AL16" t="str">
        <f t="shared" si="35"/>
        <v/>
      </c>
      <c r="AM16" t="str">
        <f t="shared" si="36"/>
        <v/>
      </c>
      <c r="AN16" t="str">
        <f t="shared" si="37"/>
        <v/>
      </c>
      <c r="AO16" t="str">
        <f t="shared" si="38"/>
        <v/>
      </c>
      <c r="AP16" t="str">
        <f t="shared" si="39"/>
        <v/>
      </c>
      <c r="AQ16" t="str">
        <f t="shared" si="40"/>
        <v/>
      </c>
      <c r="AR16" t="str">
        <f t="shared" si="41"/>
        <v/>
      </c>
      <c r="AS16" t="str">
        <f t="shared" si="42"/>
        <v/>
      </c>
      <c r="AT16" t="str">
        <f t="shared" si="43"/>
        <v/>
      </c>
    </row>
    <row r="17" spans="1:46">
      <c r="A17" t="str">
        <f>发布任务!A17</f>
        <v/>
      </c>
      <c r="B17" t="str">
        <f>IF(发布任务!B17="","",发布任务!B17)</f>
        <v/>
      </c>
      <c r="C17" t="str">
        <f>IF($A17="","",发布任务!S17)</f>
        <v/>
      </c>
      <c r="D17" t="str">
        <f t="shared" si="2"/>
        <v/>
      </c>
      <c r="E17" t="str">
        <f t="shared" si="3"/>
        <v/>
      </c>
      <c r="F17" t="str">
        <f t="shared" si="4"/>
        <v/>
      </c>
      <c r="G17" t="str">
        <f t="shared" si="5"/>
        <v/>
      </c>
      <c r="H17" t="str">
        <f t="shared" si="6"/>
        <v/>
      </c>
      <c r="I17" t="str">
        <f>IF(A17="","",发布任务!Q17)</f>
        <v/>
      </c>
      <c r="J17" t="str">
        <f t="shared" si="7"/>
        <v/>
      </c>
      <c r="K17" t="str">
        <f t="shared" si="8"/>
        <v/>
      </c>
      <c r="L17" t="str">
        <f t="shared" si="9"/>
        <v/>
      </c>
      <c r="M17" t="str">
        <f t="shared" si="10"/>
        <v/>
      </c>
      <c r="N17" t="str">
        <f t="shared" si="11"/>
        <v/>
      </c>
      <c r="O17" t="str">
        <f t="shared" si="12"/>
        <v/>
      </c>
      <c r="P17" t="str">
        <f t="shared" si="13"/>
        <v/>
      </c>
      <c r="Q17" t="str">
        <f t="shared" si="14"/>
        <v/>
      </c>
      <c r="R17" t="str">
        <f t="shared" si="15"/>
        <v/>
      </c>
      <c r="S17" t="str">
        <f t="shared" si="16"/>
        <v/>
      </c>
      <c r="T17" t="str">
        <f t="shared" si="17"/>
        <v/>
      </c>
      <c r="U17" t="str">
        <f t="shared" si="18"/>
        <v/>
      </c>
      <c r="V17" t="str">
        <f t="shared" si="19"/>
        <v/>
      </c>
      <c r="W17" t="str">
        <f t="shared" si="20"/>
        <v/>
      </c>
      <c r="X17" t="str">
        <f t="shared" si="21"/>
        <v/>
      </c>
      <c r="Y17" t="str">
        <f t="shared" si="22"/>
        <v/>
      </c>
      <c r="Z17" t="str">
        <f t="shared" si="23"/>
        <v/>
      </c>
      <c r="AA17" t="str">
        <f t="shared" si="24"/>
        <v/>
      </c>
      <c r="AB17" t="str">
        <f t="shared" si="25"/>
        <v/>
      </c>
      <c r="AC17" t="str">
        <f t="shared" si="26"/>
        <v/>
      </c>
      <c r="AD17" t="str">
        <f t="shared" si="27"/>
        <v/>
      </c>
      <c r="AE17" t="str">
        <f t="shared" si="28"/>
        <v/>
      </c>
      <c r="AF17" t="str">
        <f t="shared" si="29"/>
        <v/>
      </c>
      <c r="AG17" t="str">
        <f t="shared" si="30"/>
        <v/>
      </c>
      <c r="AH17" t="str">
        <f t="shared" si="31"/>
        <v/>
      </c>
      <c r="AI17" t="str">
        <f t="shared" si="32"/>
        <v/>
      </c>
      <c r="AJ17" t="str">
        <f t="shared" si="33"/>
        <v/>
      </c>
      <c r="AK17" t="str">
        <f t="shared" si="34"/>
        <v/>
      </c>
      <c r="AL17" t="str">
        <f t="shared" si="35"/>
        <v/>
      </c>
      <c r="AM17" t="str">
        <f t="shared" si="36"/>
        <v/>
      </c>
      <c r="AN17" t="str">
        <f t="shared" si="37"/>
        <v/>
      </c>
      <c r="AO17" t="str">
        <f t="shared" si="38"/>
        <v/>
      </c>
      <c r="AP17" t="str">
        <f t="shared" si="39"/>
        <v/>
      </c>
      <c r="AQ17" t="str">
        <f t="shared" si="40"/>
        <v/>
      </c>
      <c r="AR17" t="str">
        <f t="shared" si="41"/>
        <v/>
      </c>
      <c r="AS17" t="str">
        <f t="shared" si="42"/>
        <v/>
      </c>
      <c r="AT17" t="str">
        <f t="shared" si="43"/>
        <v/>
      </c>
    </row>
    <row r="18" spans="1:46">
      <c r="A18" t="str">
        <f>发布任务!A18</f>
        <v/>
      </c>
      <c r="B18" t="str">
        <f>IF(发布任务!B18="","",发布任务!B18)</f>
        <v/>
      </c>
      <c r="C18" t="str">
        <f>IF($A18="","",发布任务!S18)</f>
        <v/>
      </c>
      <c r="D18" t="str">
        <f t="shared" si="2"/>
        <v/>
      </c>
      <c r="E18" t="str">
        <f t="shared" si="3"/>
        <v/>
      </c>
      <c r="F18" t="str">
        <f t="shared" si="4"/>
        <v/>
      </c>
      <c r="G18" t="str">
        <f t="shared" si="5"/>
        <v/>
      </c>
      <c r="H18" t="str">
        <f t="shared" si="6"/>
        <v/>
      </c>
      <c r="I18" t="str">
        <f>IF(A18="","",发布任务!Q18)</f>
        <v/>
      </c>
      <c r="J18" t="str">
        <f t="shared" si="7"/>
        <v/>
      </c>
      <c r="K18" t="str">
        <f t="shared" si="8"/>
        <v/>
      </c>
      <c r="L18" t="str">
        <f t="shared" si="9"/>
        <v/>
      </c>
      <c r="M18" t="str">
        <f t="shared" si="10"/>
        <v/>
      </c>
      <c r="N18" t="str">
        <f t="shared" si="11"/>
        <v/>
      </c>
      <c r="O18" t="str">
        <f t="shared" si="12"/>
        <v/>
      </c>
      <c r="P18" t="str">
        <f t="shared" si="13"/>
        <v/>
      </c>
      <c r="Q18" t="str">
        <f t="shared" si="14"/>
        <v/>
      </c>
      <c r="R18" t="str">
        <f t="shared" si="15"/>
        <v/>
      </c>
      <c r="S18" t="str">
        <f t="shared" si="16"/>
        <v/>
      </c>
      <c r="T18" t="str">
        <f t="shared" si="17"/>
        <v/>
      </c>
      <c r="U18" t="str">
        <f t="shared" si="18"/>
        <v/>
      </c>
      <c r="V18" t="str">
        <f t="shared" si="19"/>
        <v/>
      </c>
      <c r="W18" t="str">
        <f t="shared" si="20"/>
        <v/>
      </c>
      <c r="X18" t="str">
        <f t="shared" si="21"/>
        <v/>
      </c>
      <c r="Y18" t="str">
        <f t="shared" si="22"/>
        <v/>
      </c>
      <c r="Z18" t="str">
        <f t="shared" si="23"/>
        <v/>
      </c>
      <c r="AA18" t="str">
        <f t="shared" si="24"/>
        <v/>
      </c>
      <c r="AB18" t="str">
        <f t="shared" si="25"/>
        <v/>
      </c>
      <c r="AC18" t="str">
        <f t="shared" si="26"/>
        <v/>
      </c>
      <c r="AD18" t="str">
        <f t="shared" si="27"/>
        <v/>
      </c>
      <c r="AE18" t="str">
        <f t="shared" si="28"/>
        <v/>
      </c>
      <c r="AF18" t="str">
        <f t="shared" si="29"/>
        <v/>
      </c>
      <c r="AG18" t="str">
        <f t="shared" si="30"/>
        <v/>
      </c>
      <c r="AH18" t="str">
        <f t="shared" si="31"/>
        <v/>
      </c>
      <c r="AI18" t="str">
        <f t="shared" si="32"/>
        <v/>
      </c>
      <c r="AJ18" t="str">
        <f t="shared" si="33"/>
        <v/>
      </c>
      <c r="AK18" t="str">
        <f t="shared" si="34"/>
        <v/>
      </c>
      <c r="AL18" t="str">
        <f t="shared" si="35"/>
        <v/>
      </c>
      <c r="AM18" t="str">
        <f t="shared" si="36"/>
        <v/>
      </c>
      <c r="AN18" t="str">
        <f t="shared" si="37"/>
        <v/>
      </c>
      <c r="AO18" t="str">
        <f t="shared" si="38"/>
        <v/>
      </c>
      <c r="AP18" t="str">
        <f t="shared" si="39"/>
        <v/>
      </c>
      <c r="AQ18" t="str">
        <f t="shared" si="40"/>
        <v/>
      </c>
      <c r="AR18" t="str">
        <f t="shared" si="41"/>
        <v/>
      </c>
      <c r="AS18" t="str">
        <f t="shared" si="42"/>
        <v/>
      </c>
      <c r="AT18" t="str">
        <f t="shared" si="43"/>
        <v/>
      </c>
    </row>
    <row r="19" spans="1:46">
      <c r="A19" t="str">
        <f>发布任务!A19</f>
        <v/>
      </c>
      <c r="B19" t="str">
        <f>IF(发布任务!B19="","",发布任务!B19)</f>
        <v/>
      </c>
      <c r="C19" t="str">
        <f>IF($A19="","",发布任务!S19)</f>
        <v/>
      </c>
      <c r="D19" t="str">
        <f t="shared" si="2"/>
        <v/>
      </c>
      <c r="E19" t="str">
        <f t="shared" si="3"/>
        <v/>
      </c>
      <c r="F19" t="str">
        <f t="shared" si="4"/>
        <v/>
      </c>
      <c r="G19" t="str">
        <f t="shared" si="5"/>
        <v/>
      </c>
      <c r="H19" t="str">
        <f t="shared" si="6"/>
        <v/>
      </c>
      <c r="I19" t="str">
        <f>IF(A19="","",发布任务!Q19)</f>
        <v/>
      </c>
      <c r="J19" t="str">
        <f t="shared" si="7"/>
        <v/>
      </c>
      <c r="K19" t="str">
        <f t="shared" si="8"/>
        <v/>
      </c>
      <c r="L19" t="str">
        <f t="shared" si="9"/>
        <v/>
      </c>
      <c r="M19" t="str">
        <f t="shared" si="10"/>
        <v/>
      </c>
      <c r="N19" t="str">
        <f t="shared" si="11"/>
        <v/>
      </c>
      <c r="O19" t="str">
        <f t="shared" si="12"/>
        <v/>
      </c>
      <c r="P19" t="str">
        <f t="shared" si="13"/>
        <v/>
      </c>
      <c r="Q19" t="str">
        <f t="shared" si="14"/>
        <v/>
      </c>
      <c r="R19" t="str">
        <f t="shared" si="15"/>
        <v/>
      </c>
      <c r="S19" t="str">
        <f t="shared" si="16"/>
        <v/>
      </c>
      <c r="T19" t="str">
        <f t="shared" si="17"/>
        <v/>
      </c>
      <c r="U19" t="str">
        <f t="shared" si="18"/>
        <v/>
      </c>
      <c r="V19" t="str">
        <f t="shared" si="19"/>
        <v/>
      </c>
      <c r="W19" t="str">
        <f t="shared" si="20"/>
        <v/>
      </c>
      <c r="X19" t="str">
        <f t="shared" si="21"/>
        <v/>
      </c>
      <c r="Y19" t="str">
        <f t="shared" si="22"/>
        <v/>
      </c>
      <c r="Z19" t="str">
        <f t="shared" si="23"/>
        <v/>
      </c>
      <c r="AA19" t="str">
        <f t="shared" si="24"/>
        <v/>
      </c>
      <c r="AB19" t="str">
        <f t="shared" si="25"/>
        <v/>
      </c>
      <c r="AC19" t="str">
        <f t="shared" si="26"/>
        <v/>
      </c>
      <c r="AD19" t="str">
        <f t="shared" si="27"/>
        <v/>
      </c>
      <c r="AE19" t="str">
        <f t="shared" si="28"/>
        <v/>
      </c>
      <c r="AF19" t="str">
        <f t="shared" si="29"/>
        <v/>
      </c>
      <c r="AG19" t="str">
        <f t="shared" si="30"/>
        <v/>
      </c>
      <c r="AH19" t="str">
        <f t="shared" si="31"/>
        <v/>
      </c>
      <c r="AI19" t="str">
        <f t="shared" si="32"/>
        <v/>
      </c>
      <c r="AJ19" t="str">
        <f t="shared" si="33"/>
        <v/>
      </c>
      <c r="AK19" t="str">
        <f t="shared" si="34"/>
        <v/>
      </c>
      <c r="AL19" t="str">
        <f t="shared" si="35"/>
        <v/>
      </c>
      <c r="AM19" t="str">
        <f t="shared" si="36"/>
        <v/>
      </c>
      <c r="AN19" t="str">
        <f t="shared" si="37"/>
        <v/>
      </c>
      <c r="AO19" t="str">
        <f t="shared" si="38"/>
        <v/>
      </c>
      <c r="AP19" t="str">
        <f t="shared" si="39"/>
        <v/>
      </c>
      <c r="AQ19" t="str">
        <f t="shared" si="40"/>
        <v/>
      </c>
      <c r="AR19" t="str">
        <f t="shared" si="41"/>
        <v/>
      </c>
      <c r="AS19" t="str">
        <f t="shared" si="42"/>
        <v/>
      </c>
      <c r="AT19" t="str">
        <f t="shared" si="43"/>
        <v/>
      </c>
    </row>
    <row r="20" spans="1:46">
      <c r="A20" t="str">
        <f>发布任务!A20</f>
        <v/>
      </c>
      <c r="B20" t="str">
        <f>IF(发布任务!B20="","",发布任务!B20)</f>
        <v/>
      </c>
      <c r="C20" t="str">
        <f>IF($A20="","",发布任务!S20)</f>
        <v/>
      </c>
      <c r="D20" t="str">
        <f t="shared" si="2"/>
        <v/>
      </c>
      <c r="E20" t="str">
        <f t="shared" si="3"/>
        <v/>
      </c>
      <c r="F20" t="str">
        <f t="shared" si="4"/>
        <v/>
      </c>
      <c r="G20" t="str">
        <f t="shared" si="5"/>
        <v/>
      </c>
      <c r="H20" t="str">
        <f t="shared" si="6"/>
        <v/>
      </c>
      <c r="I20" t="str">
        <f>IF(A20="","",发布任务!Q20)</f>
        <v/>
      </c>
      <c r="J20" t="str">
        <f t="shared" si="7"/>
        <v/>
      </c>
      <c r="K20" t="str">
        <f t="shared" si="8"/>
        <v/>
      </c>
      <c r="L20" t="str">
        <f t="shared" si="9"/>
        <v/>
      </c>
      <c r="M20" t="str">
        <f t="shared" si="10"/>
        <v/>
      </c>
      <c r="N20" t="str">
        <f t="shared" si="11"/>
        <v/>
      </c>
      <c r="O20" t="str">
        <f t="shared" si="12"/>
        <v/>
      </c>
      <c r="P20" t="str">
        <f t="shared" si="13"/>
        <v/>
      </c>
      <c r="Q20" t="str">
        <f t="shared" si="14"/>
        <v/>
      </c>
      <c r="R20" t="str">
        <f t="shared" si="15"/>
        <v/>
      </c>
      <c r="S20" t="str">
        <f t="shared" si="16"/>
        <v/>
      </c>
      <c r="T20" t="str">
        <f t="shared" si="17"/>
        <v/>
      </c>
      <c r="U20" t="str">
        <f t="shared" si="18"/>
        <v/>
      </c>
      <c r="V20" t="str">
        <f t="shared" si="19"/>
        <v/>
      </c>
      <c r="W20" t="str">
        <f t="shared" si="20"/>
        <v/>
      </c>
      <c r="X20" t="str">
        <f t="shared" si="21"/>
        <v/>
      </c>
      <c r="Y20" t="str">
        <f t="shared" si="22"/>
        <v/>
      </c>
      <c r="Z20" t="str">
        <f t="shared" si="23"/>
        <v/>
      </c>
      <c r="AA20" t="str">
        <f t="shared" si="24"/>
        <v/>
      </c>
      <c r="AB20" t="str">
        <f t="shared" si="25"/>
        <v/>
      </c>
      <c r="AC20" t="str">
        <f t="shared" si="26"/>
        <v/>
      </c>
      <c r="AD20" t="str">
        <f t="shared" si="27"/>
        <v/>
      </c>
      <c r="AE20" t="str">
        <f t="shared" si="28"/>
        <v/>
      </c>
      <c r="AF20" t="str">
        <f t="shared" si="29"/>
        <v/>
      </c>
      <c r="AG20" t="str">
        <f t="shared" si="30"/>
        <v/>
      </c>
      <c r="AH20" t="str">
        <f t="shared" si="31"/>
        <v/>
      </c>
      <c r="AI20" t="str">
        <f t="shared" si="32"/>
        <v/>
      </c>
      <c r="AJ20" t="str">
        <f t="shared" si="33"/>
        <v/>
      </c>
      <c r="AK20" t="str">
        <f t="shared" si="34"/>
        <v/>
      </c>
      <c r="AL20" t="str">
        <f t="shared" si="35"/>
        <v/>
      </c>
      <c r="AM20" t="str">
        <f t="shared" si="36"/>
        <v/>
      </c>
      <c r="AN20" t="str">
        <f t="shared" si="37"/>
        <v/>
      </c>
      <c r="AO20" t="str">
        <f t="shared" si="38"/>
        <v/>
      </c>
      <c r="AP20" t="str">
        <f t="shared" si="39"/>
        <v/>
      </c>
      <c r="AQ20" t="str">
        <f t="shared" si="40"/>
        <v/>
      </c>
      <c r="AR20" t="str">
        <f t="shared" si="41"/>
        <v/>
      </c>
      <c r="AS20" t="str">
        <f t="shared" si="42"/>
        <v/>
      </c>
      <c r="AT20" t="str">
        <f t="shared" si="43"/>
        <v/>
      </c>
    </row>
    <row r="21" spans="1:46">
      <c r="A21" t="str">
        <f>发布任务!A21</f>
        <v/>
      </c>
      <c r="B21" t="str">
        <f>IF(发布任务!B21="","",发布任务!B21)</f>
        <v/>
      </c>
      <c r="C21" t="str">
        <f>IF($A21="","",发布任务!S21)</f>
        <v/>
      </c>
      <c r="D21" t="str">
        <f t="shared" si="2"/>
        <v/>
      </c>
      <c r="E21" t="str">
        <f t="shared" si="3"/>
        <v/>
      </c>
      <c r="F21" t="str">
        <f t="shared" si="4"/>
        <v/>
      </c>
      <c r="G21" t="str">
        <f t="shared" si="5"/>
        <v/>
      </c>
      <c r="H21" t="str">
        <f t="shared" si="6"/>
        <v/>
      </c>
      <c r="I21" t="str">
        <f>IF(A21="","",发布任务!Q21)</f>
        <v/>
      </c>
      <c r="J21" t="str">
        <f t="shared" si="7"/>
        <v/>
      </c>
      <c r="K21" t="str">
        <f t="shared" si="8"/>
        <v/>
      </c>
      <c r="L21" t="str">
        <f t="shared" si="9"/>
        <v/>
      </c>
      <c r="M21" t="str">
        <f t="shared" si="10"/>
        <v/>
      </c>
      <c r="N21" t="str">
        <f t="shared" si="11"/>
        <v/>
      </c>
      <c r="O21" t="str">
        <f t="shared" si="12"/>
        <v/>
      </c>
      <c r="P21" t="str">
        <f t="shared" si="13"/>
        <v/>
      </c>
      <c r="Q21" t="str">
        <f t="shared" si="14"/>
        <v/>
      </c>
      <c r="R21" t="str">
        <f t="shared" si="15"/>
        <v/>
      </c>
      <c r="S21" t="str">
        <f t="shared" si="16"/>
        <v/>
      </c>
      <c r="T21" t="str">
        <f t="shared" si="17"/>
        <v/>
      </c>
      <c r="U21" t="str">
        <f t="shared" si="18"/>
        <v/>
      </c>
      <c r="V21" t="str">
        <f t="shared" si="19"/>
        <v/>
      </c>
      <c r="W21" t="str">
        <f t="shared" si="20"/>
        <v/>
      </c>
      <c r="X21" t="str">
        <f t="shared" si="21"/>
        <v/>
      </c>
      <c r="Y21" t="str">
        <f t="shared" si="22"/>
        <v/>
      </c>
      <c r="Z21" t="str">
        <f t="shared" si="23"/>
        <v/>
      </c>
      <c r="AA21" t="str">
        <f t="shared" si="24"/>
        <v/>
      </c>
      <c r="AB21" t="str">
        <f t="shared" si="25"/>
        <v/>
      </c>
      <c r="AC21" t="str">
        <f t="shared" si="26"/>
        <v/>
      </c>
      <c r="AD21" t="str">
        <f t="shared" si="27"/>
        <v/>
      </c>
      <c r="AE21" t="str">
        <f t="shared" si="28"/>
        <v/>
      </c>
      <c r="AF21" t="str">
        <f t="shared" si="29"/>
        <v/>
      </c>
      <c r="AG21" t="str">
        <f t="shared" si="30"/>
        <v/>
      </c>
      <c r="AH21" t="str">
        <f t="shared" si="31"/>
        <v/>
      </c>
      <c r="AI21" t="str">
        <f t="shared" si="32"/>
        <v/>
      </c>
      <c r="AJ21" t="str">
        <f t="shared" si="33"/>
        <v/>
      </c>
      <c r="AK21" t="str">
        <f t="shared" si="34"/>
        <v/>
      </c>
      <c r="AL21" t="str">
        <f t="shared" si="35"/>
        <v/>
      </c>
      <c r="AM21" t="str">
        <f t="shared" si="36"/>
        <v/>
      </c>
      <c r="AN21" t="str">
        <f t="shared" si="37"/>
        <v/>
      </c>
      <c r="AO21" t="str">
        <f t="shared" si="38"/>
        <v/>
      </c>
      <c r="AP21" t="str">
        <f t="shared" si="39"/>
        <v/>
      </c>
      <c r="AQ21" t="str">
        <f t="shared" si="40"/>
        <v/>
      </c>
      <c r="AR21" t="str">
        <f t="shared" si="41"/>
        <v/>
      </c>
      <c r="AS21" t="str">
        <f t="shared" si="42"/>
        <v/>
      </c>
      <c r="AT21" t="str">
        <f t="shared" si="43"/>
        <v/>
      </c>
    </row>
    <row r="22" spans="1:46">
      <c r="A22" t="str">
        <f>发布任务!A22</f>
        <v/>
      </c>
      <c r="B22" t="str">
        <f>IF(发布任务!B22="","",发布任务!B22)</f>
        <v/>
      </c>
      <c r="C22" t="str">
        <f>IF($A22="","",发布任务!S22)</f>
        <v/>
      </c>
      <c r="D22" t="str">
        <f t="shared" si="2"/>
        <v/>
      </c>
      <c r="E22" t="str">
        <f t="shared" si="3"/>
        <v/>
      </c>
      <c r="F22" t="str">
        <f t="shared" si="4"/>
        <v/>
      </c>
      <c r="G22" t="str">
        <f t="shared" si="5"/>
        <v/>
      </c>
      <c r="H22" t="str">
        <f t="shared" si="6"/>
        <v/>
      </c>
      <c r="I22" t="str">
        <f>IF(A22="","",发布任务!Q22)</f>
        <v/>
      </c>
      <c r="J22" t="str">
        <f t="shared" si="7"/>
        <v/>
      </c>
      <c r="K22" t="str">
        <f t="shared" si="8"/>
        <v/>
      </c>
      <c r="L22" t="str">
        <f t="shared" si="9"/>
        <v/>
      </c>
      <c r="M22" t="str">
        <f t="shared" si="10"/>
        <v/>
      </c>
      <c r="N22" t="str">
        <f t="shared" si="11"/>
        <v/>
      </c>
      <c r="O22" t="str">
        <f t="shared" si="12"/>
        <v/>
      </c>
      <c r="P22" t="str">
        <f t="shared" si="13"/>
        <v/>
      </c>
      <c r="Q22" t="str">
        <f t="shared" si="14"/>
        <v/>
      </c>
      <c r="R22" t="str">
        <f t="shared" si="15"/>
        <v/>
      </c>
      <c r="S22" t="str">
        <f t="shared" si="16"/>
        <v/>
      </c>
      <c r="T22" t="str">
        <f t="shared" si="17"/>
        <v/>
      </c>
      <c r="U22" t="str">
        <f t="shared" si="18"/>
        <v/>
      </c>
      <c r="V22" t="str">
        <f t="shared" si="19"/>
        <v/>
      </c>
      <c r="W22" t="str">
        <f t="shared" si="20"/>
        <v/>
      </c>
      <c r="X22" t="str">
        <f t="shared" si="21"/>
        <v/>
      </c>
      <c r="Y22" t="str">
        <f t="shared" si="22"/>
        <v/>
      </c>
      <c r="Z22" t="str">
        <f t="shared" si="23"/>
        <v/>
      </c>
      <c r="AA22" t="str">
        <f t="shared" si="24"/>
        <v/>
      </c>
      <c r="AB22" t="str">
        <f t="shared" si="25"/>
        <v/>
      </c>
      <c r="AC22" t="str">
        <f t="shared" si="26"/>
        <v/>
      </c>
      <c r="AD22" t="str">
        <f t="shared" si="27"/>
        <v/>
      </c>
      <c r="AE22" t="str">
        <f t="shared" si="28"/>
        <v/>
      </c>
      <c r="AF22" t="str">
        <f t="shared" si="29"/>
        <v/>
      </c>
      <c r="AG22" t="str">
        <f t="shared" si="30"/>
        <v/>
      </c>
      <c r="AH22" t="str">
        <f t="shared" si="31"/>
        <v/>
      </c>
      <c r="AI22" t="str">
        <f t="shared" si="32"/>
        <v/>
      </c>
      <c r="AJ22" t="str">
        <f t="shared" si="33"/>
        <v/>
      </c>
      <c r="AK22" t="str">
        <f t="shared" si="34"/>
        <v/>
      </c>
      <c r="AL22" t="str">
        <f t="shared" si="35"/>
        <v/>
      </c>
      <c r="AM22" t="str">
        <f t="shared" si="36"/>
        <v/>
      </c>
      <c r="AN22" t="str">
        <f t="shared" si="37"/>
        <v/>
      </c>
      <c r="AO22" t="str">
        <f t="shared" si="38"/>
        <v/>
      </c>
      <c r="AP22" t="str">
        <f t="shared" si="39"/>
        <v/>
      </c>
      <c r="AQ22" t="str">
        <f t="shared" si="40"/>
        <v/>
      </c>
      <c r="AR22" t="str">
        <f t="shared" si="41"/>
        <v/>
      </c>
      <c r="AS22" t="str">
        <f t="shared" si="42"/>
        <v/>
      </c>
      <c r="AT22" t="str">
        <f t="shared" si="43"/>
        <v/>
      </c>
    </row>
    <row r="23" spans="1:46">
      <c r="A23" t="str">
        <f>发布任务!A23</f>
        <v/>
      </c>
      <c r="B23" t="str">
        <f>IF(发布任务!B23="","",发布任务!B23)</f>
        <v/>
      </c>
      <c r="C23" t="str">
        <f>IF($A23="","",发布任务!S23)</f>
        <v/>
      </c>
      <c r="D23" t="str">
        <f t="shared" si="2"/>
        <v/>
      </c>
      <c r="E23" t="str">
        <f t="shared" si="3"/>
        <v/>
      </c>
      <c r="F23" t="str">
        <f t="shared" si="4"/>
        <v/>
      </c>
      <c r="G23" t="str">
        <f t="shared" si="5"/>
        <v/>
      </c>
      <c r="H23" t="str">
        <f t="shared" si="6"/>
        <v/>
      </c>
      <c r="I23" t="str">
        <f>IF(A23="","",发布任务!Q23)</f>
        <v/>
      </c>
      <c r="J23" t="str">
        <f t="shared" si="7"/>
        <v/>
      </c>
      <c r="K23" t="str">
        <f t="shared" si="8"/>
        <v/>
      </c>
      <c r="L23" t="str">
        <f t="shared" si="9"/>
        <v/>
      </c>
      <c r="M23" t="str">
        <f t="shared" si="10"/>
        <v/>
      </c>
      <c r="N23" t="str">
        <f t="shared" si="11"/>
        <v/>
      </c>
      <c r="O23" t="str">
        <f t="shared" si="12"/>
        <v/>
      </c>
      <c r="P23" t="str">
        <f t="shared" si="13"/>
        <v/>
      </c>
      <c r="Q23" t="str">
        <f t="shared" si="14"/>
        <v/>
      </c>
      <c r="R23" t="str">
        <f t="shared" si="15"/>
        <v/>
      </c>
      <c r="S23" t="str">
        <f t="shared" si="16"/>
        <v/>
      </c>
      <c r="T23" t="str">
        <f t="shared" si="17"/>
        <v/>
      </c>
      <c r="U23" t="str">
        <f t="shared" si="18"/>
        <v/>
      </c>
      <c r="V23" t="str">
        <f t="shared" si="19"/>
        <v/>
      </c>
      <c r="W23" t="str">
        <f t="shared" si="20"/>
        <v/>
      </c>
      <c r="X23" t="str">
        <f t="shared" si="21"/>
        <v/>
      </c>
      <c r="Y23" t="str">
        <f t="shared" si="22"/>
        <v/>
      </c>
      <c r="Z23" t="str">
        <f t="shared" si="23"/>
        <v/>
      </c>
      <c r="AA23" t="str">
        <f t="shared" si="24"/>
        <v/>
      </c>
      <c r="AB23" t="str">
        <f t="shared" si="25"/>
        <v/>
      </c>
      <c r="AC23" t="str">
        <f t="shared" si="26"/>
        <v/>
      </c>
      <c r="AD23" t="str">
        <f t="shared" si="27"/>
        <v/>
      </c>
      <c r="AE23" t="str">
        <f t="shared" si="28"/>
        <v/>
      </c>
      <c r="AF23" t="str">
        <f t="shared" si="29"/>
        <v/>
      </c>
      <c r="AG23" t="str">
        <f t="shared" si="30"/>
        <v/>
      </c>
      <c r="AH23" t="str">
        <f t="shared" si="31"/>
        <v/>
      </c>
      <c r="AI23" t="str">
        <f t="shared" si="32"/>
        <v/>
      </c>
      <c r="AJ23" t="str">
        <f t="shared" si="33"/>
        <v/>
      </c>
      <c r="AK23" t="str">
        <f t="shared" si="34"/>
        <v/>
      </c>
      <c r="AL23" t="str">
        <f t="shared" si="35"/>
        <v/>
      </c>
      <c r="AM23" t="str">
        <f t="shared" si="36"/>
        <v/>
      </c>
      <c r="AN23" t="str">
        <f t="shared" si="37"/>
        <v/>
      </c>
      <c r="AO23" t="str">
        <f t="shared" si="38"/>
        <v/>
      </c>
      <c r="AP23" t="str">
        <f t="shared" si="39"/>
        <v/>
      </c>
      <c r="AQ23" t="str">
        <f t="shared" si="40"/>
        <v/>
      </c>
      <c r="AR23" t="str">
        <f t="shared" si="41"/>
        <v/>
      </c>
      <c r="AS23" t="str">
        <f t="shared" si="42"/>
        <v/>
      </c>
      <c r="AT23" t="str">
        <f t="shared" si="43"/>
        <v/>
      </c>
    </row>
    <row r="24" spans="1:46">
      <c r="A24" t="str">
        <f>发布任务!A24</f>
        <v/>
      </c>
      <c r="B24" t="str">
        <f>IF(发布任务!B24="","",发布任务!B24)</f>
        <v/>
      </c>
      <c r="C24" t="str">
        <f>IF($A24="","",发布任务!S24)</f>
        <v/>
      </c>
      <c r="D24" t="str">
        <f t="shared" si="2"/>
        <v/>
      </c>
      <c r="E24" t="str">
        <f t="shared" si="3"/>
        <v/>
      </c>
      <c r="F24" t="str">
        <f t="shared" si="4"/>
        <v/>
      </c>
      <c r="G24" t="str">
        <f t="shared" si="5"/>
        <v/>
      </c>
      <c r="H24" t="str">
        <f t="shared" si="6"/>
        <v/>
      </c>
      <c r="I24" t="str">
        <f>IF(A24="","",发布任务!Q24)</f>
        <v/>
      </c>
      <c r="J24" t="str">
        <f t="shared" si="7"/>
        <v/>
      </c>
      <c r="K24" t="str">
        <f t="shared" si="8"/>
        <v/>
      </c>
      <c r="L24" t="str">
        <f t="shared" si="9"/>
        <v/>
      </c>
      <c r="M24" t="str">
        <f t="shared" si="10"/>
        <v/>
      </c>
      <c r="N24" t="str">
        <f t="shared" si="11"/>
        <v/>
      </c>
      <c r="O24" t="str">
        <f t="shared" si="12"/>
        <v/>
      </c>
      <c r="P24" t="str">
        <f t="shared" si="13"/>
        <v/>
      </c>
      <c r="Q24" t="str">
        <f t="shared" si="14"/>
        <v/>
      </c>
      <c r="R24" t="str">
        <f t="shared" si="15"/>
        <v/>
      </c>
      <c r="S24" t="str">
        <f t="shared" si="16"/>
        <v/>
      </c>
      <c r="T24" t="str">
        <f t="shared" si="17"/>
        <v/>
      </c>
      <c r="U24" t="str">
        <f t="shared" si="18"/>
        <v/>
      </c>
      <c r="V24" t="str">
        <f t="shared" si="19"/>
        <v/>
      </c>
      <c r="W24" t="str">
        <f t="shared" si="20"/>
        <v/>
      </c>
      <c r="X24" t="str">
        <f t="shared" si="21"/>
        <v/>
      </c>
      <c r="Y24" t="str">
        <f t="shared" si="22"/>
        <v/>
      </c>
      <c r="Z24" t="str">
        <f t="shared" si="23"/>
        <v/>
      </c>
      <c r="AA24" t="str">
        <f t="shared" si="24"/>
        <v/>
      </c>
      <c r="AB24" t="str">
        <f t="shared" si="25"/>
        <v/>
      </c>
      <c r="AC24" t="str">
        <f t="shared" si="26"/>
        <v/>
      </c>
      <c r="AD24" t="str">
        <f t="shared" si="27"/>
        <v/>
      </c>
      <c r="AE24" t="str">
        <f t="shared" si="28"/>
        <v/>
      </c>
      <c r="AF24" t="str">
        <f t="shared" si="29"/>
        <v/>
      </c>
      <c r="AG24" t="str">
        <f t="shared" si="30"/>
        <v/>
      </c>
      <c r="AH24" t="str">
        <f t="shared" si="31"/>
        <v/>
      </c>
      <c r="AI24" t="str">
        <f t="shared" si="32"/>
        <v/>
      </c>
      <c r="AJ24" t="str">
        <f t="shared" si="33"/>
        <v/>
      </c>
      <c r="AK24" t="str">
        <f t="shared" si="34"/>
        <v/>
      </c>
      <c r="AL24" t="str">
        <f t="shared" si="35"/>
        <v/>
      </c>
      <c r="AM24" t="str">
        <f t="shared" si="36"/>
        <v/>
      </c>
      <c r="AN24" t="str">
        <f t="shared" si="37"/>
        <v/>
      </c>
      <c r="AO24" t="str">
        <f t="shared" si="38"/>
        <v/>
      </c>
      <c r="AP24" t="str">
        <f t="shared" si="39"/>
        <v/>
      </c>
      <c r="AQ24" t="str">
        <f t="shared" si="40"/>
        <v/>
      </c>
      <c r="AR24" t="str">
        <f t="shared" si="41"/>
        <v/>
      </c>
      <c r="AS24" t="str">
        <f t="shared" si="42"/>
        <v/>
      </c>
      <c r="AT24" t="str">
        <f t="shared" si="43"/>
        <v/>
      </c>
    </row>
  </sheetData>
  <pageMargins left="0.75" right="0.75" top="1" bottom="1" header="0.5" footer="0.5"/>
  <headerFooter/>
  <ignoredErrors>
    <ignoredError sqref="I5:I24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F25"/>
  <sheetViews>
    <sheetView workbookViewId="0">
      <selection activeCell="A6" sqref="A6"/>
    </sheetView>
  </sheetViews>
  <sheetFormatPr defaultColWidth="9" defaultRowHeight="13.5"/>
  <cols>
    <col min="2" max="2" width="13.75" customWidth="1"/>
    <col min="3" max="3" width="18.75" customWidth="1"/>
  </cols>
  <sheetData>
    <row r="1" spans="1:110">
      <c r="A1" s="1" t="s">
        <v>123</v>
      </c>
      <c r="B1" s="1" t="s">
        <v>124</v>
      </c>
      <c r="C1" s="1" t="s">
        <v>615</v>
      </c>
      <c r="D1" s="1" t="s">
        <v>329</v>
      </c>
      <c r="E1" s="1" t="s">
        <v>616</v>
      </c>
      <c r="F1" s="1" t="s">
        <v>617</v>
      </c>
      <c r="G1" s="1" t="s">
        <v>618</v>
      </c>
      <c r="H1" s="1" t="s">
        <v>619</v>
      </c>
      <c r="I1" s="1" t="s">
        <v>620</v>
      </c>
      <c r="J1" s="1"/>
      <c r="K1" s="1" t="s">
        <v>621</v>
      </c>
      <c r="L1" s="1" t="s">
        <v>622</v>
      </c>
      <c r="M1" s="1" t="s">
        <v>623</v>
      </c>
      <c r="N1" s="1" t="s">
        <v>624</v>
      </c>
      <c r="O1" s="1" t="s">
        <v>625</v>
      </c>
      <c r="P1" s="1" t="s">
        <v>626</v>
      </c>
      <c r="Q1" s="1" t="s">
        <v>627</v>
      </c>
      <c r="R1" s="1" t="s">
        <v>628</v>
      </c>
      <c r="S1" s="1" t="s">
        <v>629</v>
      </c>
      <c r="T1" s="1" t="s">
        <v>630</v>
      </c>
      <c r="U1" s="1" t="s">
        <v>631</v>
      </c>
      <c r="V1" s="1" t="s">
        <v>632</v>
      </c>
      <c r="W1" s="1" t="s">
        <v>633</v>
      </c>
      <c r="X1" s="1" t="s">
        <v>634</v>
      </c>
      <c r="Y1" s="1" t="s">
        <v>635</v>
      </c>
      <c r="Z1" s="1" t="s">
        <v>636</v>
      </c>
      <c r="AA1" s="1" t="s">
        <v>637</v>
      </c>
      <c r="AB1" s="1" t="s">
        <v>638</v>
      </c>
      <c r="AC1" s="1" t="s">
        <v>639</v>
      </c>
      <c r="AD1" s="1" t="s">
        <v>640</v>
      </c>
      <c r="AE1" s="1" t="s">
        <v>641</v>
      </c>
      <c r="AF1" s="1" t="s">
        <v>642</v>
      </c>
      <c r="AG1" s="1" t="s">
        <v>643</v>
      </c>
      <c r="AH1" s="1" t="s">
        <v>644</v>
      </c>
      <c r="AI1" s="1" t="s">
        <v>645</v>
      </c>
      <c r="AJ1" s="1" t="s">
        <v>646</v>
      </c>
      <c r="AK1" s="1" t="s">
        <v>647</v>
      </c>
      <c r="AL1" s="1" t="s">
        <v>648</v>
      </c>
      <c r="AM1" s="1" t="s">
        <v>649</v>
      </c>
      <c r="AN1" s="1" t="s">
        <v>650</v>
      </c>
      <c r="AO1" s="1" t="s">
        <v>651</v>
      </c>
      <c r="AP1" s="1" t="s">
        <v>652</v>
      </c>
      <c r="AQ1" s="1" t="s">
        <v>653</v>
      </c>
      <c r="AR1" s="1" t="s">
        <v>654</v>
      </c>
      <c r="AS1" s="1" t="s">
        <v>655</v>
      </c>
      <c r="AT1" s="1" t="s">
        <v>656</v>
      </c>
      <c r="AU1" s="1" t="s">
        <v>657</v>
      </c>
      <c r="AV1" s="1" t="s">
        <v>658</v>
      </c>
      <c r="AW1" s="1" t="s">
        <v>659</v>
      </c>
      <c r="AX1" s="1" t="s">
        <v>660</v>
      </c>
      <c r="AY1" s="1" t="s">
        <v>661</v>
      </c>
      <c r="AZ1" s="1" t="s">
        <v>662</v>
      </c>
      <c r="BA1" s="1" t="s">
        <v>663</v>
      </c>
      <c r="BB1" s="1" t="s">
        <v>664</v>
      </c>
      <c r="BC1" s="1" t="s">
        <v>665</v>
      </c>
      <c r="BD1" s="1" t="s">
        <v>666</v>
      </c>
      <c r="BE1" s="1" t="s">
        <v>667</v>
      </c>
      <c r="BF1" s="1" t="s">
        <v>668</v>
      </c>
      <c r="BG1" s="1" t="s">
        <v>669</v>
      </c>
      <c r="BH1" s="1" t="s">
        <v>670</v>
      </c>
      <c r="BI1" s="1" t="s">
        <v>671</v>
      </c>
      <c r="BJ1" s="1" t="s">
        <v>672</v>
      </c>
      <c r="BK1" s="1" t="s">
        <v>673</v>
      </c>
      <c r="BL1" s="1" t="s">
        <v>674</v>
      </c>
      <c r="BM1" s="1" t="s">
        <v>675</v>
      </c>
      <c r="BN1" s="1" t="s">
        <v>676</v>
      </c>
      <c r="BO1" s="1" t="s">
        <v>677</v>
      </c>
      <c r="BP1" s="1" t="s">
        <v>678</v>
      </c>
      <c r="BQ1" s="1" t="s">
        <v>679</v>
      </c>
      <c r="BR1" s="1" t="s">
        <v>680</v>
      </c>
      <c r="BS1" s="1" t="s">
        <v>681</v>
      </c>
      <c r="BT1" s="1" t="s">
        <v>682</v>
      </c>
      <c r="BU1" s="1" t="s">
        <v>683</v>
      </c>
      <c r="BV1" s="1" t="s">
        <v>684</v>
      </c>
      <c r="BW1" s="1" t="s">
        <v>685</v>
      </c>
      <c r="BX1" s="1" t="s">
        <v>686</v>
      </c>
      <c r="BY1" s="1" t="s">
        <v>687</v>
      </c>
      <c r="BZ1" s="1" t="s">
        <v>688</v>
      </c>
      <c r="CA1" s="1" t="s">
        <v>689</v>
      </c>
      <c r="CB1" s="1" t="s">
        <v>690</v>
      </c>
      <c r="CC1" s="1" t="s">
        <v>691</v>
      </c>
      <c r="CD1" s="1" t="s">
        <v>692</v>
      </c>
      <c r="CE1" s="1" t="s">
        <v>693</v>
      </c>
      <c r="CF1" s="1" t="s">
        <v>694</v>
      </c>
      <c r="CG1" s="1" t="s">
        <v>695</v>
      </c>
      <c r="CH1" s="1" t="s">
        <v>696</v>
      </c>
      <c r="CI1" s="1" t="s">
        <v>697</v>
      </c>
      <c r="CJ1" s="1" t="s">
        <v>698</v>
      </c>
      <c r="CK1" s="1" t="s">
        <v>699</v>
      </c>
      <c r="CL1" s="1" t="s">
        <v>700</v>
      </c>
      <c r="CM1" s="1" t="s">
        <v>701</v>
      </c>
      <c r="CN1" s="1" t="s">
        <v>702</v>
      </c>
      <c r="CO1" s="1" t="s">
        <v>703</v>
      </c>
      <c r="CP1" s="1" t="s">
        <v>704</v>
      </c>
      <c r="CQ1" s="1" t="s">
        <v>705</v>
      </c>
      <c r="CR1" s="1" t="s">
        <v>706</v>
      </c>
      <c r="CS1" s="1" t="s">
        <v>707</v>
      </c>
      <c r="CT1" s="1" t="s">
        <v>708</v>
      </c>
      <c r="CU1" s="1" t="s">
        <v>709</v>
      </c>
      <c r="CV1" s="1" t="s">
        <v>710</v>
      </c>
      <c r="CW1" s="1" t="s">
        <v>711</v>
      </c>
      <c r="CX1" s="1" t="s">
        <v>712</v>
      </c>
      <c r="CY1" s="1" t="s">
        <v>713</v>
      </c>
      <c r="CZ1" s="1" t="s">
        <v>714</v>
      </c>
      <c r="DA1" s="1" t="s">
        <v>715</v>
      </c>
      <c r="DB1" s="1" t="s">
        <v>716</v>
      </c>
      <c r="DC1" s="1" t="s">
        <v>717</v>
      </c>
      <c r="DD1" s="1" t="s">
        <v>718</v>
      </c>
      <c r="DE1" s="1" t="s">
        <v>719</v>
      </c>
      <c r="DF1" s="1" t="s">
        <v>720</v>
      </c>
    </row>
    <row r="2" spans="1:110">
      <c r="A2" s="1" t="s">
        <v>721</v>
      </c>
      <c r="B2" s="1" t="s">
        <v>154</v>
      </c>
      <c r="C2" s="1" t="s">
        <v>154</v>
      </c>
      <c r="D2" s="1" t="s">
        <v>153</v>
      </c>
      <c r="E2" s="1" t="s">
        <v>153</v>
      </c>
      <c r="F2" s="1" t="s">
        <v>154</v>
      </c>
      <c r="G2" s="1" t="s">
        <v>154</v>
      </c>
      <c r="H2" s="1" t="s">
        <v>154</v>
      </c>
      <c r="I2" s="1" t="s">
        <v>154</v>
      </c>
      <c r="J2" s="1"/>
      <c r="K2" s="1" t="s">
        <v>721</v>
      </c>
      <c r="L2" s="1" t="s">
        <v>721</v>
      </c>
      <c r="M2" s="1" t="s">
        <v>721</v>
      </c>
      <c r="N2" s="1" t="s">
        <v>721</v>
      </c>
      <c r="O2" s="1" t="s">
        <v>721</v>
      </c>
      <c r="P2" s="1" t="s">
        <v>721</v>
      </c>
      <c r="Q2" s="1" t="s">
        <v>721</v>
      </c>
      <c r="R2" s="1" t="s">
        <v>721</v>
      </c>
      <c r="S2" s="1" t="s">
        <v>721</v>
      </c>
      <c r="T2" s="1" t="s">
        <v>721</v>
      </c>
      <c r="U2" s="1" t="s">
        <v>721</v>
      </c>
      <c r="V2" s="1" t="s">
        <v>721</v>
      </c>
      <c r="W2" s="1" t="s">
        <v>721</v>
      </c>
      <c r="X2" s="1" t="s">
        <v>721</v>
      </c>
      <c r="Y2" s="1" t="s">
        <v>721</v>
      </c>
      <c r="Z2" s="1" t="s">
        <v>721</v>
      </c>
      <c r="AA2" s="1" t="s">
        <v>721</v>
      </c>
      <c r="AB2" s="1" t="s">
        <v>721</v>
      </c>
      <c r="AC2" s="1" t="s">
        <v>721</v>
      </c>
      <c r="AD2" s="1" t="s">
        <v>721</v>
      </c>
      <c r="AE2" s="1" t="s">
        <v>721</v>
      </c>
      <c r="AF2" s="1" t="s">
        <v>721</v>
      </c>
      <c r="AG2" s="1" t="s">
        <v>721</v>
      </c>
      <c r="AH2" s="1" t="s">
        <v>721</v>
      </c>
      <c r="AI2" s="1" t="s">
        <v>721</v>
      </c>
      <c r="AJ2" s="1" t="s">
        <v>721</v>
      </c>
      <c r="AK2" s="1" t="s">
        <v>721</v>
      </c>
      <c r="AL2" s="1" t="s">
        <v>721</v>
      </c>
      <c r="AM2" s="1" t="s">
        <v>721</v>
      </c>
      <c r="AN2" s="1" t="s">
        <v>721</v>
      </c>
      <c r="AO2" s="1" t="s">
        <v>721</v>
      </c>
      <c r="AP2" s="1" t="s">
        <v>721</v>
      </c>
      <c r="AQ2" s="1" t="s">
        <v>721</v>
      </c>
      <c r="AR2" s="1" t="s">
        <v>721</v>
      </c>
      <c r="AS2" s="1" t="s">
        <v>721</v>
      </c>
      <c r="AT2" s="1" t="s">
        <v>721</v>
      </c>
      <c r="AU2" s="1" t="s">
        <v>721</v>
      </c>
      <c r="AV2" s="1" t="s">
        <v>721</v>
      </c>
      <c r="AW2" s="1" t="s">
        <v>721</v>
      </c>
      <c r="AX2" s="1" t="s">
        <v>721</v>
      </c>
      <c r="AY2" s="1" t="s">
        <v>721</v>
      </c>
      <c r="AZ2" s="1" t="s">
        <v>721</v>
      </c>
      <c r="BA2" s="1" t="s">
        <v>721</v>
      </c>
      <c r="BB2" s="1" t="s">
        <v>721</v>
      </c>
      <c r="BC2" s="1" t="s">
        <v>721</v>
      </c>
      <c r="BD2" s="1" t="s">
        <v>721</v>
      </c>
      <c r="BE2" s="1" t="s">
        <v>721</v>
      </c>
      <c r="BF2" s="1" t="s">
        <v>721</v>
      </c>
      <c r="BG2" s="1" t="s">
        <v>721</v>
      </c>
      <c r="BH2" s="1" t="s">
        <v>721</v>
      </c>
      <c r="BI2" s="1" t="s">
        <v>721</v>
      </c>
      <c r="BJ2" s="1" t="s">
        <v>721</v>
      </c>
      <c r="BK2" s="1" t="s">
        <v>721</v>
      </c>
      <c r="BL2" s="1" t="s">
        <v>721</v>
      </c>
      <c r="BM2" s="1" t="s">
        <v>721</v>
      </c>
      <c r="BN2" s="1" t="s">
        <v>721</v>
      </c>
      <c r="BO2" s="1" t="s">
        <v>721</v>
      </c>
      <c r="BP2" s="1" t="s">
        <v>721</v>
      </c>
      <c r="BQ2" s="1" t="s">
        <v>721</v>
      </c>
      <c r="BR2" s="1" t="s">
        <v>721</v>
      </c>
      <c r="BS2" s="1" t="s">
        <v>721</v>
      </c>
      <c r="BT2" s="1" t="s">
        <v>721</v>
      </c>
      <c r="BU2" s="1" t="s">
        <v>721</v>
      </c>
      <c r="BV2" s="1" t="s">
        <v>721</v>
      </c>
      <c r="BW2" s="1" t="s">
        <v>721</v>
      </c>
      <c r="BX2" s="1" t="s">
        <v>721</v>
      </c>
      <c r="BY2" s="1" t="s">
        <v>721</v>
      </c>
      <c r="BZ2" s="1" t="s">
        <v>721</v>
      </c>
      <c r="CA2" s="1" t="s">
        <v>721</v>
      </c>
      <c r="CB2" s="1" t="s">
        <v>721</v>
      </c>
      <c r="CC2" s="1" t="s">
        <v>721</v>
      </c>
      <c r="CD2" s="1" t="s">
        <v>721</v>
      </c>
      <c r="CE2" s="1" t="s">
        <v>721</v>
      </c>
      <c r="CF2" s="1" t="s">
        <v>721</v>
      </c>
      <c r="CG2" s="1" t="s">
        <v>721</v>
      </c>
      <c r="CH2" s="1" t="s">
        <v>721</v>
      </c>
      <c r="CI2" s="1" t="s">
        <v>721</v>
      </c>
      <c r="CJ2" s="1" t="s">
        <v>721</v>
      </c>
      <c r="CK2" s="1" t="s">
        <v>721</v>
      </c>
      <c r="CL2" s="1" t="s">
        <v>721</v>
      </c>
      <c r="CM2" s="1" t="s">
        <v>721</v>
      </c>
      <c r="CN2" s="1" t="s">
        <v>721</v>
      </c>
      <c r="CO2" s="1" t="s">
        <v>721</v>
      </c>
      <c r="CP2" s="1" t="s">
        <v>721</v>
      </c>
      <c r="CQ2" s="1" t="s">
        <v>721</v>
      </c>
      <c r="CR2" s="1" t="s">
        <v>721</v>
      </c>
      <c r="CS2" s="1" t="s">
        <v>721</v>
      </c>
      <c r="CT2" s="1" t="s">
        <v>721</v>
      </c>
      <c r="CU2" s="1" t="s">
        <v>721</v>
      </c>
      <c r="CV2" s="1" t="s">
        <v>721</v>
      </c>
      <c r="CW2" s="1" t="s">
        <v>721</v>
      </c>
      <c r="CX2" s="1" t="s">
        <v>721</v>
      </c>
      <c r="CY2" s="1" t="s">
        <v>721</v>
      </c>
      <c r="CZ2" s="1" t="s">
        <v>721</v>
      </c>
      <c r="DA2" s="1" t="s">
        <v>721</v>
      </c>
      <c r="DB2" s="1" t="s">
        <v>721</v>
      </c>
      <c r="DC2" s="1" t="s">
        <v>721</v>
      </c>
      <c r="DD2" s="1" t="s">
        <v>721</v>
      </c>
      <c r="DE2" s="1" t="s">
        <v>721</v>
      </c>
      <c r="DF2" s="1" t="s">
        <v>721</v>
      </c>
    </row>
    <row r="3" spans="1:110">
      <c r="A3" s="1" t="s">
        <v>156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</row>
    <row r="4" spans="1:110">
      <c r="A4" s="1" t="s">
        <v>212</v>
      </c>
      <c r="B4" s="1" t="s">
        <v>722</v>
      </c>
      <c r="C4" s="1" t="s">
        <v>65</v>
      </c>
      <c r="D4" s="1" t="s">
        <v>723</v>
      </c>
      <c r="E4" s="1" t="s">
        <v>724</v>
      </c>
      <c r="F4" s="1" t="s">
        <v>725</v>
      </c>
      <c r="G4" s="1" t="s">
        <v>726</v>
      </c>
      <c r="H4" s="1" t="s">
        <v>727</v>
      </c>
      <c r="I4" s="1" t="s">
        <v>728</v>
      </c>
      <c r="J4" s="1"/>
      <c r="K4" s="1" t="s">
        <v>729</v>
      </c>
      <c r="L4" s="1" t="s">
        <v>730</v>
      </c>
      <c r="M4" s="1" t="s">
        <v>731</v>
      </c>
      <c r="N4" s="1" t="s">
        <v>732</v>
      </c>
      <c r="O4" s="1" t="s">
        <v>733</v>
      </c>
      <c r="P4" s="1" t="s">
        <v>734</v>
      </c>
      <c r="Q4" s="1" t="s">
        <v>735</v>
      </c>
      <c r="R4" s="1" t="s">
        <v>736</v>
      </c>
      <c r="S4" s="1" t="s">
        <v>737</v>
      </c>
      <c r="T4" s="1" t="s">
        <v>738</v>
      </c>
      <c r="U4" s="1" t="s">
        <v>739</v>
      </c>
      <c r="V4" s="1" t="s">
        <v>740</v>
      </c>
      <c r="W4" s="1" t="s">
        <v>741</v>
      </c>
      <c r="X4" s="1" t="s">
        <v>742</v>
      </c>
      <c r="Y4" s="1" t="s">
        <v>743</v>
      </c>
      <c r="Z4" s="1" t="s">
        <v>744</v>
      </c>
      <c r="AA4" s="1" t="s">
        <v>745</v>
      </c>
      <c r="AB4" s="1" t="s">
        <v>746</v>
      </c>
      <c r="AC4" s="1" t="s">
        <v>747</v>
      </c>
      <c r="AD4" s="1" t="s">
        <v>748</v>
      </c>
      <c r="AE4" s="1" t="s">
        <v>749</v>
      </c>
      <c r="AF4" s="1" t="s">
        <v>750</v>
      </c>
      <c r="AG4" s="1" t="s">
        <v>751</v>
      </c>
      <c r="AH4" s="1" t="s">
        <v>752</v>
      </c>
      <c r="AI4" s="1" t="s">
        <v>753</v>
      </c>
      <c r="AJ4" s="1" t="s">
        <v>754</v>
      </c>
      <c r="AK4" s="1" t="s">
        <v>755</v>
      </c>
      <c r="AL4" s="1" t="s">
        <v>756</v>
      </c>
      <c r="AM4" s="1" t="s">
        <v>757</v>
      </c>
      <c r="AN4" s="1" t="s">
        <v>758</v>
      </c>
      <c r="AO4" s="1" t="s">
        <v>759</v>
      </c>
      <c r="AP4" s="1" t="s">
        <v>760</v>
      </c>
      <c r="AQ4" s="1" t="s">
        <v>761</v>
      </c>
      <c r="AR4" s="1" t="s">
        <v>762</v>
      </c>
      <c r="AS4" s="1" t="s">
        <v>763</v>
      </c>
      <c r="AT4" s="1" t="s">
        <v>764</v>
      </c>
      <c r="AU4" s="1" t="s">
        <v>765</v>
      </c>
      <c r="AV4" s="1" t="s">
        <v>766</v>
      </c>
      <c r="AW4" s="1" t="s">
        <v>767</v>
      </c>
      <c r="AX4" s="1" t="s">
        <v>768</v>
      </c>
      <c r="AY4" s="1" t="s">
        <v>769</v>
      </c>
      <c r="AZ4" s="1" t="s">
        <v>770</v>
      </c>
      <c r="BA4" s="1" t="s">
        <v>771</v>
      </c>
      <c r="BB4" s="1" t="s">
        <v>772</v>
      </c>
      <c r="BC4" s="1" t="s">
        <v>773</v>
      </c>
      <c r="BD4" s="1" t="s">
        <v>774</v>
      </c>
      <c r="BE4" s="1" t="s">
        <v>775</v>
      </c>
      <c r="BF4" s="1" t="s">
        <v>776</v>
      </c>
      <c r="BG4" s="1" t="s">
        <v>777</v>
      </c>
      <c r="BH4" s="1" t="s">
        <v>778</v>
      </c>
      <c r="BI4" s="1" t="s">
        <v>779</v>
      </c>
      <c r="BJ4" s="1" t="s">
        <v>780</v>
      </c>
      <c r="BK4" s="1" t="s">
        <v>781</v>
      </c>
      <c r="BL4" s="1" t="s">
        <v>782</v>
      </c>
      <c r="BM4" s="1" t="s">
        <v>783</v>
      </c>
      <c r="BN4" s="1" t="s">
        <v>784</v>
      </c>
      <c r="BO4" s="1" t="s">
        <v>785</v>
      </c>
      <c r="BP4" s="1" t="s">
        <v>786</v>
      </c>
      <c r="BQ4" s="1" t="s">
        <v>787</v>
      </c>
      <c r="BR4" s="1" t="s">
        <v>788</v>
      </c>
      <c r="BS4" s="1" t="s">
        <v>789</v>
      </c>
      <c r="BT4" s="1" t="s">
        <v>790</v>
      </c>
      <c r="BU4" s="1" t="s">
        <v>791</v>
      </c>
      <c r="BV4" s="1" t="s">
        <v>792</v>
      </c>
      <c r="BW4" s="1" t="s">
        <v>793</v>
      </c>
      <c r="BX4" s="1" t="s">
        <v>794</v>
      </c>
      <c r="BY4" s="1" t="s">
        <v>795</v>
      </c>
      <c r="BZ4" s="1" t="s">
        <v>796</v>
      </c>
      <c r="CA4" s="1" t="s">
        <v>797</v>
      </c>
      <c r="CB4" s="1" t="s">
        <v>798</v>
      </c>
      <c r="CC4" s="1" t="s">
        <v>799</v>
      </c>
      <c r="CD4" s="1" t="s">
        <v>800</v>
      </c>
      <c r="CE4" s="1" t="s">
        <v>801</v>
      </c>
      <c r="CF4" s="1" t="s">
        <v>802</v>
      </c>
      <c r="CG4" s="1" t="s">
        <v>803</v>
      </c>
      <c r="CH4" s="1" t="s">
        <v>804</v>
      </c>
      <c r="CI4" s="1" t="s">
        <v>805</v>
      </c>
      <c r="CJ4" s="1" t="s">
        <v>806</v>
      </c>
      <c r="CK4" s="1" t="s">
        <v>807</v>
      </c>
      <c r="CL4" s="1" t="s">
        <v>808</v>
      </c>
      <c r="CM4" s="1" t="s">
        <v>809</v>
      </c>
      <c r="CN4" s="1" t="s">
        <v>810</v>
      </c>
      <c r="CO4" s="1" t="s">
        <v>811</v>
      </c>
      <c r="CP4" s="1" t="s">
        <v>812</v>
      </c>
      <c r="CQ4" s="1" t="s">
        <v>813</v>
      </c>
      <c r="CR4" s="1" t="s">
        <v>814</v>
      </c>
      <c r="CS4" s="1" t="s">
        <v>815</v>
      </c>
      <c r="CT4" s="1" t="s">
        <v>816</v>
      </c>
      <c r="CU4" s="1" t="s">
        <v>817</v>
      </c>
      <c r="CV4" s="1" t="s">
        <v>818</v>
      </c>
      <c r="CW4" s="1" t="s">
        <v>819</v>
      </c>
      <c r="CX4" s="1" t="s">
        <v>820</v>
      </c>
      <c r="CY4" s="1" t="s">
        <v>821</v>
      </c>
      <c r="CZ4" s="1" t="s">
        <v>822</v>
      </c>
      <c r="DA4" s="1" t="s">
        <v>823</v>
      </c>
      <c r="DB4" s="1" t="s">
        <v>824</v>
      </c>
      <c r="DC4" s="1" t="s">
        <v>825</v>
      </c>
      <c r="DD4" s="1" t="s">
        <v>826</v>
      </c>
      <c r="DE4" s="1" t="s">
        <v>827</v>
      </c>
      <c r="DF4" s="1" t="s">
        <v>828</v>
      </c>
    </row>
    <row r="5" spans="1:110">
      <c r="A5">
        <v>1000</v>
      </c>
      <c r="B5" s="1" t="str">
        <f>IF($A5="","",VLOOKUP(A5,捏造NPC!$A:$R,5,FALSE))</f>
        <v>资12-军衔-夏风</v>
      </c>
      <c r="C5" s="1" t="str">
        <f>IF($A5="","",VLOOKUP(A5,捏造NPC!$A:$R,18,FALSE))</f>
        <v>你好</v>
      </c>
      <c r="D5" s="1">
        <f>IF($A5="","",1)</f>
        <v>1</v>
      </c>
      <c r="E5" s="1">
        <f>IF($A5="","",1)</f>
        <v>1</v>
      </c>
      <c r="F5" s="1"/>
      <c r="G5" s="1"/>
      <c r="H5" s="1"/>
      <c r="I5" s="1"/>
      <c r="J5" s="1"/>
      <c r="K5" s="1" t="str">
        <f>IF($A5="","",IF(发布任务!AJ5="",-1,发布任务!AJ5))</f>
        <v>8124</v>
      </c>
      <c r="L5" s="1" t="str">
        <f>IF($A5="","",IF(发布任务!AK5="",-1,发布任务!AK5))</f>
        <v>8126</v>
      </c>
      <c r="M5" s="1">
        <f>IF($A5="","",IF(发布任务!AL5="",-1,发布任务!AL5))</f>
        <v>-1</v>
      </c>
      <c r="N5" s="1">
        <f>IF($A5="","",IF(发布任务!AM5="",-1,发布任务!AM5))</f>
        <v>-1</v>
      </c>
      <c r="O5" s="1">
        <f>IF($A5="","",IF(发布任务!AN5="",-1,发布任务!AN5))</f>
        <v>-1</v>
      </c>
      <c r="P5" s="1">
        <f>IF($A5="","",IF(发布任务!AO5="",-1,发布任务!AO5))</f>
        <v>-1</v>
      </c>
      <c r="Q5" s="1">
        <f>IF($A5="","",IF(发布任务!AP5="",-1,发布任务!AP5))</f>
        <v>-1</v>
      </c>
      <c r="R5" s="1">
        <f>IF($A5="","",IF(发布任务!AQ5="",-1,发布任务!AQ5))</f>
        <v>-1</v>
      </c>
      <c r="S5" s="1">
        <f>IF($A5="","",IF(发布任务!AR5="",-1,发布任务!AR5))</f>
        <v>-1</v>
      </c>
      <c r="T5" s="1">
        <f>IF($A5="","",IF(发布任务!AS5="",-1,发布任务!AS5))</f>
        <v>-1</v>
      </c>
      <c r="U5" s="1">
        <f>IF($A5="","",IF(发布任务!AT5="",-1,发布任务!AT5))</f>
        <v>-1</v>
      </c>
      <c r="V5" s="1">
        <f>IF($A5="","",IF(发布任务!AU5="",-1,发布任务!AU5))</f>
        <v>-1</v>
      </c>
      <c r="W5" s="1">
        <f>IF($A5="","",IF(发布任务!AV5="",-1,发布任务!AV5))</f>
        <v>-1</v>
      </c>
      <c r="X5" s="1">
        <f>IF($A5="","",IF(发布任务!AW5="",-1,发布任务!AW5))</f>
        <v>-1</v>
      </c>
      <c r="Y5" s="1">
        <f>IF($A5="","",IF(发布任务!AX5="",-1,发布任务!AX5))</f>
        <v>-1</v>
      </c>
      <c r="Z5" s="1">
        <f>IF($A5="","",IF(发布任务!AY5="",-1,发布任务!AY5))</f>
        <v>-1</v>
      </c>
      <c r="AA5" s="1">
        <f>IF($A5="","",IF(发布任务!AZ5="",-1,发布任务!AZ5))</f>
        <v>-1</v>
      </c>
      <c r="AB5" s="1">
        <f>IF($A5="","",IF(发布任务!BA5="",-1,发布任务!BA5))</f>
        <v>-1</v>
      </c>
      <c r="AC5" s="1">
        <f>IF($A5="","",IF(发布任务!BB5="",-1,发布任务!BB5))</f>
        <v>-1</v>
      </c>
      <c r="AD5" s="1">
        <f>IF($A5="","",IF(发布任务!BC5="",-1,发布任务!BC5))</f>
        <v>-1</v>
      </c>
      <c r="AE5" s="1">
        <f>IF($A5="","",IF(发布任务!BD5="",-1,发布任务!BD5))</f>
        <v>-1</v>
      </c>
      <c r="AF5" s="1">
        <f>IF($A5="","",IF(发布任务!BE5="",-1,发布任务!BE5))</f>
        <v>-1</v>
      </c>
      <c r="AG5" s="1">
        <f>IF($A5="","",IF(发布任务!BF5="",-1,发布任务!BF5))</f>
        <v>-1</v>
      </c>
      <c r="AH5" s="1">
        <f>IF($A5="","",IF(发布任务!BG5="",-1,发布任务!BG5))</f>
        <v>-1</v>
      </c>
      <c r="AI5" s="1">
        <f>IF($A5="","",IF(发布任务!BH5="",-1,发布任务!BH5))</f>
        <v>-1</v>
      </c>
      <c r="AJ5" s="1">
        <f>IF($A5="","",IF(发布任务!BI5="",-1,发布任务!BI5))</f>
        <v>-1</v>
      </c>
      <c r="AK5" s="1">
        <f>IF($A5="","",IF(发布任务!BJ5="",-1,发布任务!BJ5))</f>
        <v>-1</v>
      </c>
      <c r="AL5" s="1">
        <f>IF($A5="","",IF(发布任务!BK5="",-1,发布任务!BK5))</f>
        <v>-1</v>
      </c>
      <c r="AM5" s="1">
        <f>IF($A5="","",IF(发布任务!BL5="",-1,发布任务!BL5))</f>
        <v>-1</v>
      </c>
      <c r="AN5" s="1">
        <f>IF($A5="","",IF(发布任务!BM5="",-1,发布任务!BM5))</f>
        <v>-1</v>
      </c>
      <c r="AO5" s="1">
        <f>IF($A5="","",IF(发布任务!BN5="",-1,发布任务!BN5))</f>
        <v>-1</v>
      </c>
      <c r="AP5" s="1">
        <f>IF($A5="","",IF(发布任务!BO5="",-1,发布任务!BO5))</f>
        <v>-1</v>
      </c>
      <c r="AQ5" s="1">
        <f>IF($A5="","",IF(发布任务!BP5="",-1,发布任务!BP5))</f>
        <v>-1</v>
      </c>
      <c r="AR5" s="1">
        <f>IF($A5="","",IF(发布任务!BQ5="",-1,发布任务!BQ5))</f>
        <v>-1</v>
      </c>
      <c r="AS5" s="1">
        <f>IF($A5="","",IF(发布任务!BR5="",-1,发布任务!BR5))</f>
        <v>-1</v>
      </c>
      <c r="AT5" s="1">
        <f>IF($A5="","",IF(发布任务!BS5="",-1,发布任务!BS5))</f>
        <v>-1</v>
      </c>
      <c r="AU5" s="1">
        <f>IF($A5="","",IF(发布任务!BT5="",-1,发布任务!BT5))</f>
        <v>-1</v>
      </c>
      <c r="AV5" s="1">
        <f>IF($A5="","",IF(发布任务!BU5="",-1,发布任务!BU5))</f>
        <v>-1</v>
      </c>
      <c r="AW5" s="1">
        <f>IF($A5="","",IF(发布任务!BV5="",-1,发布任务!BV5))</f>
        <v>-1</v>
      </c>
      <c r="AX5" s="1">
        <f>IF($A5="","",IF(发布任务!BW5="",-1,发布任务!BW5))</f>
        <v>-1</v>
      </c>
      <c r="AY5" s="1">
        <f>IF($A5="","",IF(发布任务!BX5="",-1,发布任务!BX5))</f>
        <v>-1</v>
      </c>
      <c r="AZ5" s="1">
        <f>IF($A5="","",IF(发布任务!BY5="",-1,发布任务!BY5))</f>
        <v>-1</v>
      </c>
      <c r="BA5" s="1">
        <f>IF($A5="","",IF(发布任务!BZ5="",-1,发布任务!BZ5))</f>
        <v>-1</v>
      </c>
      <c r="BB5" s="1">
        <f>IF($A5="","",IF(发布任务!CA5="",-1,发布任务!CA5))</f>
        <v>-1</v>
      </c>
      <c r="BC5" s="1">
        <f>IF($A5="","",IF(发布任务!CB5="",-1,发布任务!CB5))</f>
        <v>-1</v>
      </c>
      <c r="BD5" s="1">
        <f>IF($A5="","",IF(发布任务!CC5="",-1,发布任务!CC5))</f>
        <v>-1</v>
      </c>
      <c r="BE5" s="1">
        <f>IF($A5="","",IF(发布任务!CD5="",-1,发布任务!CD5))</f>
        <v>-1</v>
      </c>
      <c r="BF5" s="1">
        <f>IF($A5="","",IF(发布任务!CE5="",-1,发布任务!CE5))</f>
        <v>-1</v>
      </c>
      <c r="BG5" s="1">
        <f>IF($A5="","",IF(发布任务!CF5="",-1,发布任务!CF5))</f>
        <v>-1</v>
      </c>
      <c r="BH5" s="1">
        <f>IF($A5="","",IF(发布任务!CG5="",-1,发布任务!CG5))</f>
        <v>-1</v>
      </c>
      <c r="BI5" s="1">
        <f>IF($A5="","",IF(发布任务!CH5="",-1,发布任务!CH5))</f>
        <v>-1</v>
      </c>
      <c r="BJ5" s="1">
        <f>IF($A5="","",IF(发布任务!CI5="",-1,发布任务!CI5))</f>
        <v>-1</v>
      </c>
      <c r="BK5" s="1">
        <f>IF($A5="","",IF(发布任务!CJ5="",-1,发布任务!CJ5))</f>
        <v>-1</v>
      </c>
      <c r="BL5" s="1">
        <f>IF($A5="","",IF(发布任务!CK5="",-1,发布任务!CK5))</f>
        <v>-1</v>
      </c>
      <c r="BM5" s="1">
        <f>IF($A5="","",IF(发布任务!CL5="",-1,发布任务!CL5))</f>
        <v>-1</v>
      </c>
      <c r="BN5" s="1">
        <f>IF($A5="","",IF(发布任务!CM5="",-1,发布任务!CM5))</f>
        <v>-1</v>
      </c>
      <c r="BO5" s="1">
        <f>IF($A5="","",IF(发布任务!CN5="",-1,发布任务!CN5))</f>
        <v>-1</v>
      </c>
      <c r="BP5" s="1">
        <f>IF($A5="","",IF(发布任务!CO5="",-1,发布任务!CO5))</f>
        <v>-1</v>
      </c>
      <c r="BQ5" s="1">
        <f>IF($A5="","",IF(发布任务!CP5="",-1,发布任务!CP5))</f>
        <v>-1</v>
      </c>
      <c r="BR5" s="1">
        <f>IF($A5="","",IF(发布任务!CQ5="",-1,发布任务!CQ5))</f>
        <v>-1</v>
      </c>
      <c r="BS5" s="1">
        <f>IF($A5="","",IF(发布任务!CR5="",-1,发布任务!CR5))</f>
        <v>-1</v>
      </c>
      <c r="BT5" s="1">
        <f>IF($A5="","",IF(发布任务!CS5="",-1,发布任务!CS5))</f>
        <v>-1</v>
      </c>
      <c r="BU5" s="1">
        <f>IF($A5="","",IF(发布任务!CT5="",-1,发布任务!CT5))</f>
        <v>-1</v>
      </c>
      <c r="BV5" s="1">
        <f>IF($A5="","",IF(发布任务!CU5="",-1,发布任务!CU5))</f>
        <v>-1</v>
      </c>
      <c r="BW5" s="1">
        <f>IF($A5="","",IF(发布任务!CV5="",-1,发布任务!CV5))</f>
        <v>-1</v>
      </c>
      <c r="BX5" s="1">
        <f>IF($A5="","",IF(发布任务!CW5="",-1,发布任务!CW5))</f>
        <v>-1</v>
      </c>
      <c r="BY5" s="1">
        <f>IF($A5="","",IF(发布任务!CX5="",-1,发布任务!CX5))</f>
        <v>-1</v>
      </c>
      <c r="BZ5" s="1">
        <f>IF($A5="","",IF(发布任务!CY5="",-1,发布任务!CY5))</f>
        <v>-1</v>
      </c>
      <c r="CA5" s="1">
        <f>IF($A5="","",IF(发布任务!CZ5="",-1,发布任务!CZ5))</f>
        <v>-1</v>
      </c>
      <c r="CB5" s="1">
        <f>IF($A5="","",IF(发布任务!DA5="",-1,发布任务!DA5))</f>
        <v>-1</v>
      </c>
      <c r="CC5" s="1">
        <f>IF($A5="","",IF(发布任务!DB5="",-1,发布任务!DB5))</f>
        <v>-1</v>
      </c>
      <c r="CD5" s="1">
        <f>IF($A5="","",IF(发布任务!DC5="",-1,发布任务!DC5))</f>
        <v>-1</v>
      </c>
      <c r="CE5" s="1">
        <f>IF($A5="","",IF(发布任务!DD5="",-1,发布任务!DD5))</f>
        <v>-1</v>
      </c>
      <c r="CF5" s="1">
        <f>IF($A5="","",IF(发布任务!DE5="",-1,发布任务!DE5))</f>
        <v>-1</v>
      </c>
      <c r="CG5" s="1">
        <f>IF($A5="","",IF(发布任务!DF5="",-1,发布任务!DF5))</f>
        <v>-1</v>
      </c>
      <c r="CH5" s="1">
        <f>IF($A5="","",IF(发布任务!DG5="",-1,发布任务!DG5))</f>
        <v>-1</v>
      </c>
      <c r="CI5" s="1">
        <f>IF($A5="","",IF(发布任务!DH5="",-1,发布任务!DH5))</f>
        <v>-1</v>
      </c>
      <c r="CJ5" s="1">
        <f>IF($A5="","",IF(发布任务!DI5="",-1,发布任务!DI5))</f>
        <v>-1</v>
      </c>
      <c r="CK5" s="1">
        <f>IF($A5="","",IF(发布任务!DJ5="",-1,发布任务!DJ5))</f>
        <v>-1</v>
      </c>
      <c r="CL5" s="1">
        <f>IF($A5="","",IF(发布任务!DK5="",-1,发布任务!DK5))</f>
        <v>-1</v>
      </c>
      <c r="CM5" s="1">
        <f>IF($A5="","",IF(发布任务!DL5="",-1,发布任务!DL5))</f>
        <v>-1</v>
      </c>
      <c r="CN5" s="1">
        <f>IF($A5="","",IF(发布任务!DM5="",-1,发布任务!DM5))</f>
        <v>-1</v>
      </c>
      <c r="CO5" s="1">
        <f>IF($A5="","",IF(发布任务!DN5="",-1,发布任务!DN5))</f>
        <v>-1</v>
      </c>
      <c r="CP5" s="1">
        <f>IF($A5="","",IF(发布任务!DO5="",-1,发布任务!DO5))</f>
        <v>-1</v>
      </c>
      <c r="CQ5" s="1">
        <f>IF($A5="","",IF(发布任务!DP5="",-1,发布任务!DP5))</f>
        <v>-1</v>
      </c>
      <c r="CR5" s="1">
        <f>IF($A5="","",IF(发布任务!DQ5="",-1,发布任务!DQ5))</f>
        <v>-1</v>
      </c>
      <c r="CS5" s="1">
        <f>IF($A5="","",IF(发布任务!DR5="",-1,发布任务!DR5))</f>
        <v>-1</v>
      </c>
      <c r="CT5" s="1">
        <f>IF($A5="","",IF(发布任务!DS5="",-1,发布任务!DS5))</f>
        <v>-1</v>
      </c>
      <c r="CU5" s="1">
        <f>IF($A5="","",IF(发布任务!DT5="",-1,发布任务!DT5))</f>
        <v>-1</v>
      </c>
      <c r="CV5" s="1">
        <f>IF($A5="","",IF(发布任务!DU5="",-1,发布任务!DU5))</f>
        <v>-1</v>
      </c>
      <c r="CW5" s="1">
        <f>IF($A5="","",IF(发布任务!DV5="",-1,发布任务!DV5))</f>
        <v>-1</v>
      </c>
      <c r="CX5" s="1">
        <f>IF($A5="","",IF(发布任务!DW5="",-1,发布任务!DW5))</f>
        <v>-1</v>
      </c>
      <c r="CY5" s="1">
        <f>IF($A5="","",IF(发布任务!DX5="",-1,发布任务!DX5))</f>
        <v>-1</v>
      </c>
      <c r="CZ5" s="1">
        <f>IF($A5="","",IF(发布任务!DY5="",-1,发布任务!DY5))</f>
        <v>-1</v>
      </c>
      <c r="DA5" s="1">
        <f>IF($A5="","",IF(发布任务!DZ5="",-1,发布任务!DZ5))</f>
        <v>-1</v>
      </c>
      <c r="DB5" s="1">
        <f>IF($A5="","",IF(发布任务!EA5="",-1,发布任务!EA5))</f>
        <v>-1</v>
      </c>
      <c r="DC5" s="1">
        <f>IF($A5="","",IF(发布任务!EB5="",-1,发布任务!EB5))</f>
        <v>-1</v>
      </c>
      <c r="DD5" s="1">
        <f>IF($A5="","",IF(发布任务!EC5="",-1,发布任务!EC5))</f>
        <v>-1</v>
      </c>
      <c r="DE5" s="1">
        <f>IF($A5="","",IF(发布任务!ED5="",-1,发布任务!ED5))</f>
        <v>-1</v>
      </c>
      <c r="DF5" s="1">
        <f>IF($A5="","",IF(发布任务!EE5="",-1,发布任务!EE5))</f>
        <v>-1</v>
      </c>
    </row>
    <row r="6" spans="1:110">
      <c r="A6">
        <v>1002</v>
      </c>
      <c r="B6" s="1" t="str">
        <f>IF($A6="","",VLOOKUP(A6,捏造NPC!$A:$R,5,FALSE))</f>
        <v>资14-军衔-云隐</v>
      </c>
      <c r="C6" s="1" t="str">
        <f>IF($A6="","",VLOOKUP(A6,捏造NPC!$A:$R,18,FALSE))</f>
        <v>你好</v>
      </c>
      <c r="D6" s="1">
        <f t="shared" ref="D6:D24" si="0">IF($A6="","",1)</f>
        <v>1</v>
      </c>
      <c r="E6" s="1">
        <f t="shared" ref="E6:E24" si="1">IF($A6="","",1)</f>
        <v>1</v>
      </c>
      <c r="J6" s="1"/>
      <c r="K6" s="1" t="str">
        <f>IF($A6="","",IF(发布任务!AJ6="",-1,发布任务!AJ6))</f>
        <v>8126</v>
      </c>
      <c r="L6" s="1">
        <f>IF($A6="","",IF(发布任务!AK6="",-1,发布任务!AK6))</f>
        <v>-1</v>
      </c>
      <c r="M6" s="1">
        <f>IF($A6="","",IF(发布任务!AL6="",-1,发布任务!AL6))</f>
        <v>-1</v>
      </c>
      <c r="N6" s="1">
        <f>IF($A6="","",IF(发布任务!AM6="",-1,发布任务!AM6))</f>
        <v>-1</v>
      </c>
      <c r="O6" s="1">
        <f>IF($A6="","",IF(发布任务!AN6="",-1,发布任务!AN6))</f>
        <v>-1</v>
      </c>
      <c r="P6" s="1">
        <f>IF($A6="","",IF(发布任务!AO6="",-1,发布任务!AO6))</f>
        <v>-1</v>
      </c>
      <c r="Q6" s="1">
        <f>IF($A6="","",IF(发布任务!AP6="",-1,发布任务!AP6))</f>
        <v>-1</v>
      </c>
      <c r="R6" s="1">
        <f>IF($A6="","",IF(发布任务!AQ6="",-1,发布任务!AQ6))</f>
        <v>-1</v>
      </c>
      <c r="S6" s="1">
        <f>IF($A6="","",IF(发布任务!AR6="",-1,发布任务!AR6))</f>
        <v>-1</v>
      </c>
      <c r="T6" s="1">
        <f>IF($A6="","",IF(发布任务!AS6="",-1,发布任务!AS6))</f>
        <v>-1</v>
      </c>
      <c r="U6" s="1">
        <f>IF($A6="","",IF(发布任务!AT6="",-1,发布任务!AT6))</f>
        <v>-1</v>
      </c>
      <c r="V6" s="1">
        <f>IF($A6="","",IF(发布任务!AU6="",-1,发布任务!AU6))</f>
        <v>-1</v>
      </c>
      <c r="W6" s="1">
        <f>IF($A6="","",IF(发布任务!AV6="",-1,发布任务!AV6))</f>
        <v>-1</v>
      </c>
      <c r="X6" s="1">
        <f>IF($A6="","",IF(发布任务!AW6="",-1,发布任务!AW6))</f>
        <v>-1</v>
      </c>
      <c r="Y6" s="1">
        <f>IF($A6="","",IF(发布任务!AX6="",-1,发布任务!AX6))</f>
        <v>-1</v>
      </c>
      <c r="Z6" s="1">
        <f>IF($A6="","",IF(发布任务!AY6="",-1,发布任务!AY6))</f>
        <v>-1</v>
      </c>
      <c r="AA6" s="1">
        <f>IF($A6="","",IF(发布任务!AZ6="",-1,发布任务!AZ6))</f>
        <v>-1</v>
      </c>
      <c r="AB6" s="1">
        <f>IF($A6="","",IF(发布任务!BA6="",-1,发布任务!BA6))</f>
        <v>-1</v>
      </c>
      <c r="AC6" s="1">
        <f>IF($A6="","",IF(发布任务!BB6="",-1,发布任务!BB6))</f>
        <v>-1</v>
      </c>
      <c r="AD6" s="1">
        <f>IF($A6="","",IF(发布任务!BC6="",-1,发布任务!BC6))</f>
        <v>-1</v>
      </c>
      <c r="AE6" s="1">
        <f>IF($A6="","",IF(发布任务!BD6="",-1,发布任务!BD6))</f>
        <v>-1</v>
      </c>
      <c r="AF6" s="1">
        <f>IF($A6="","",IF(发布任务!BE6="",-1,发布任务!BE6))</f>
        <v>-1</v>
      </c>
      <c r="AG6" s="1">
        <f>IF($A6="","",IF(发布任务!BF6="",-1,发布任务!BF6))</f>
        <v>-1</v>
      </c>
      <c r="AH6" s="1">
        <f>IF($A6="","",IF(发布任务!BG6="",-1,发布任务!BG6))</f>
        <v>-1</v>
      </c>
      <c r="AI6" s="1">
        <f>IF($A6="","",IF(发布任务!BH6="",-1,发布任务!BH6))</f>
        <v>-1</v>
      </c>
      <c r="AJ6" s="1">
        <f>IF($A6="","",IF(发布任务!BI6="",-1,发布任务!BI6))</f>
        <v>-1</v>
      </c>
      <c r="AK6" s="1">
        <f>IF($A6="","",IF(发布任务!BJ6="",-1,发布任务!BJ6))</f>
        <v>-1</v>
      </c>
      <c r="AL6" s="1">
        <f>IF($A6="","",IF(发布任务!BK6="",-1,发布任务!BK6))</f>
        <v>-1</v>
      </c>
      <c r="AM6" s="1">
        <f>IF($A6="","",IF(发布任务!BL6="",-1,发布任务!BL6))</f>
        <v>-1</v>
      </c>
      <c r="AN6" s="1">
        <f>IF($A6="","",IF(发布任务!BM6="",-1,发布任务!BM6))</f>
        <v>-1</v>
      </c>
      <c r="AO6" s="1">
        <f>IF($A6="","",IF(发布任务!BN6="",-1,发布任务!BN6))</f>
        <v>-1</v>
      </c>
      <c r="AP6" s="1">
        <f>IF($A6="","",IF(发布任务!BO6="",-1,发布任务!BO6))</f>
        <v>-1</v>
      </c>
      <c r="AQ6" s="1">
        <f>IF($A6="","",IF(发布任务!BP6="",-1,发布任务!BP6))</f>
        <v>-1</v>
      </c>
      <c r="AR6" s="1">
        <f>IF($A6="","",IF(发布任务!BQ6="",-1,发布任务!BQ6))</f>
        <v>-1</v>
      </c>
      <c r="AS6" s="1">
        <f>IF($A6="","",IF(发布任务!BR6="",-1,发布任务!BR6))</f>
        <v>-1</v>
      </c>
      <c r="AT6" s="1">
        <f>IF($A6="","",IF(发布任务!BS6="",-1,发布任务!BS6))</f>
        <v>-1</v>
      </c>
      <c r="AU6" s="1">
        <f>IF($A6="","",IF(发布任务!BT6="",-1,发布任务!BT6))</f>
        <v>-1</v>
      </c>
      <c r="AV6" s="1">
        <f>IF($A6="","",IF(发布任务!BU6="",-1,发布任务!BU6))</f>
        <v>-1</v>
      </c>
      <c r="AW6" s="1">
        <f>IF($A6="","",IF(发布任务!BV6="",-1,发布任务!BV6))</f>
        <v>-1</v>
      </c>
      <c r="AX6" s="1">
        <f>IF($A6="","",IF(发布任务!BW6="",-1,发布任务!BW6))</f>
        <v>-1</v>
      </c>
      <c r="AY6" s="1">
        <f>IF($A6="","",IF(发布任务!BX6="",-1,发布任务!BX6))</f>
        <v>-1</v>
      </c>
      <c r="AZ6" s="1">
        <f>IF($A6="","",IF(发布任务!BY6="",-1,发布任务!BY6))</f>
        <v>-1</v>
      </c>
      <c r="BA6" s="1">
        <f>IF($A6="","",IF(发布任务!BZ6="",-1,发布任务!BZ6))</f>
        <v>-1</v>
      </c>
      <c r="BB6" s="1">
        <f>IF($A6="","",IF(发布任务!CA6="",-1,发布任务!CA6))</f>
        <v>-1</v>
      </c>
      <c r="BC6" s="1">
        <f>IF($A6="","",IF(发布任务!CB6="",-1,发布任务!CB6))</f>
        <v>-1</v>
      </c>
      <c r="BD6" s="1">
        <f>IF($A6="","",IF(发布任务!CC6="",-1,发布任务!CC6))</f>
        <v>-1</v>
      </c>
      <c r="BE6" s="1">
        <f>IF($A6="","",IF(发布任务!CD6="",-1,发布任务!CD6))</f>
        <v>-1</v>
      </c>
      <c r="BF6" s="1">
        <f>IF($A6="","",IF(发布任务!CE6="",-1,发布任务!CE6))</f>
        <v>-1</v>
      </c>
      <c r="BG6" s="1">
        <f>IF($A6="","",IF(发布任务!CF6="",-1,发布任务!CF6))</f>
        <v>-1</v>
      </c>
      <c r="BH6" s="1">
        <f>IF($A6="","",IF(发布任务!CG6="",-1,发布任务!CG6))</f>
        <v>-1</v>
      </c>
      <c r="BI6" s="1">
        <f>IF($A6="","",IF(发布任务!CH6="",-1,发布任务!CH6))</f>
        <v>-1</v>
      </c>
      <c r="BJ6" s="1">
        <f>IF($A6="","",IF(发布任务!CI6="",-1,发布任务!CI6))</f>
        <v>-1</v>
      </c>
      <c r="BK6" s="1">
        <f>IF($A6="","",IF(发布任务!CJ6="",-1,发布任务!CJ6))</f>
        <v>-1</v>
      </c>
      <c r="BL6" s="1">
        <f>IF($A6="","",IF(发布任务!CK6="",-1,发布任务!CK6))</f>
        <v>-1</v>
      </c>
      <c r="BM6" s="1">
        <f>IF($A6="","",IF(发布任务!CL6="",-1,发布任务!CL6))</f>
        <v>-1</v>
      </c>
      <c r="BN6" s="1">
        <f>IF($A6="","",IF(发布任务!CM6="",-1,发布任务!CM6))</f>
        <v>-1</v>
      </c>
      <c r="BO6" s="1">
        <f>IF($A6="","",IF(发布任务!CN6="",-1,发布任务!CN6))</f>
        <v>-1</v>
      </c>
      <c r="BP6" s="1">
        <f>IF($A6="","",IF(发布任务!CO6="",-1,发布任务!CO6))</f>
        <v>-1</v>
      </c>
      <c r="BQ6" s="1">
        <f>IF($A6="","",IF(发布任务!CP6="",-1,发布任务!CP6))</f>
        <v>-1</v>
      </c>
      <c r="BR6" s="1">
        <f>IF($A6="","",IF(发布任务!CQ6="",-1,发布任务!CQ6))</f>
        <v>-1</v>
      </c>
      <c r="BS6" s="1">
        <f>IF($A6="","",IF(发布任务!CR6="",-1,发布任务!CR6))</f>
        <v>-1</v>
      </c>
      <c r="BT6" s="1">
        <f>IF($A6="","",IF(发布任务!CS6="",-1,发布任务!CS6))</f>
        <v>-1</v>
      </c>
      <c r="BU6" s="1">
        <f>IF($A6="","",IF(发布任务!CT6="",-1,发布任务!CT6))</f>
        <v>-1</v>
      </c>
      <c r="BV6" s="1">
        <f>IF($A6="","",IF(发布任务!CU6="",-1,发布任务!CU6))</f>
        <v>-1</v>
      </c>
      <c r="BW6" s="1">
        <f>IF($A6="","",IF(发布任务!CV6="",-1,发布任务!CV6))</f>
        <v>-1</v>
      </c>
      <c r="BX6" s="1">
        <f>IF($A6="","",IF(发布任务!CW6="",-1,发布任务!CW6))</f>
        <v>-1</v>
      </c>
      <c r="BY6" s="1">
        <f>IF($A6="","",IF(发布任务!CX6="",-1,发布任务!CX6))</f>
        <v>-1</v>
      </c>
      <c r="BZ6" s="1">
        <f>IF($A6="","",IF(发布任务!CY6="",-1,发布任务!CY6))</f>
        <v>-1</v>
      </c>
      <c r="CA6" s="1">
        <f>IF($A6="","",IF(发布任务!CZ6="",-1,发布任务!CZ6))</f>
        <v>-1</v>
      </c>
      <c r="CB6" s="1">
        <f>IF($A6="","",IF(发布任务!DA6="",-1,发布任务!DA6))</f>
        <v>-1</v>
      </c>
      <c r="CC6" s="1">
        <f>IF($A6="","",IF(发布任务!DB6="",-1,发布任务!DB6))</f>
        <v>-1</v>
      </c>
      <c r="CD6" s="1">
        <f>IF($A6="","",IF(发布任务!DC6="",-1,发布任务!DC6))</f>
        <v>-1</v>
      </c>
      <c r="CE6" s="1">
        <f>IF($A6="","",IF(发布任务!DD6="",-1,发布任务!DD6))</f>
        <v>-1</v>
      </c>
      <c r="CF6" s="1">
        <f>IF($A6="","",IF(发布任务!DE6="",-1,发布任务!DE6))</f>
        <v>-1</v>
      </c>
      <c r="CG6" s="1">
        <f>IF($A6="","",IF(发布任务!DF6="",-1,发布任务!DF6))</f>
        <v>-1</v>
      </c>
      <c r="CH6" s="1">
        <f>IF($A6="","",IF(发布任务!DG6="",-1,发布任务!DG6))</f>
        <v>-1</v>
      </c>
      <c r="CI6" s="1">
        <f>IF($A6="","",IF(发布任务!DH6="",-1,发布任务!DH6))</f>
        <v>-1</v>
      </c>
      <c r="CJ6" s="1">
        <f>IF($A6="","",IF(发布任务!DI6="",-1,发布任务!DI6))</f>
        <v>-1</v>
      </c>
      <c r="CK6" s="1">
        <f>IF($A6="","",IF(发布任务!DJ6="",-1,发布任务!DJ6))</f>
        <v>-1</v>
      </c>
      <c r="CL6" s="1">
        <f>IF($A6="","",IF(发布任务!DK6="",-1,发布任务!DK6))</f>
        <v>-1</v>
      </c>
      <c r="CM6" s="1">
        <f>IF($A6="","",IF(发布任务!DL6="",-1,发布任务!DL6))</f>
        <v>-1</v>
      </c>
      <c r="CN6" s="1">
        <f>IF($A6="","",IF(发布任务!DM6="",-1,发布任务!DM6))</f>
        <v>-1</v>
      </c>
      <c r="CO6" s="1">
        <f>IF($A6="","",IF(发布任务!DN6="",-1,发布任务!DN6))</f>
        <v>-1</v>
      </c>
      <c r="CP6" s="1">
        <f>IF($A6="","",IF(发布任务!DO6="",-1,发布任务!DO6))</f>
        <v>-1</v>
      </c>
      <c r="CQ6" s="1">
        <f>IF($A6="","",IF(发布任务!DP6="",-1,发布任务!DP6))</f>
        <v>-1</v>
      </c>
      <c r="CR6" s="1">
        <f>IF($A6="","",IF(发布任务!DQ6="",-1,发布任务!DQ6))</f>
        <v>-1</v>
      </c>
      <c r="CS6" s="1">
        <f>IF($A6="","",IF(发布任务!DR6="",-1,发布任务!DR6))</f>
        <v>-1</v>
      </c>
      <c r="CT6" s="1">
        <f>IF($A6="","",IF(发布任务!DS6="",-1,发布任务!DS6))</f>
        <v>-1</v>
      </c>
      <c r="CU6" s="1">
        <f>IF($A6="","",IF(发布任务!DT6="",-1,发布任务!DT6))</f>
        <v>-1</v>
      </c>
      <c r="CV6" s="1">
        <f>IF($A6="","",IF(发布任务!DU6="",-1,发布任务!DU6))</f>
        <v>-1</v>
      </c>
      <c r="CW6" s="1">
        <f>IF($A6="","",IF(发布任务!DV6="",-1,发布任务!DV6))</f>
        <v>-1</v>
      </c>
      <c r="CX6" s="1">
        <f>IF($A6="","",IF(发布任务!DW6="",-1,发布任务!DW6))</f>
        <v>-1</v>
      </c>
      <c r="CY6" s="1">
        <f>IF($A6="","",IF(发布任务!DX6="",-1,发布任务!DX6))</f>
        <v>-1</v>
      </c>
      <c r="CZ6" s="1">
        <f>IF($A6="","",IF(发布任务!DY6="",-1,发布任务!DY6))</f>
        <v>-1</v>
      </c>
      <c r="DA6" s="1">
        <f>IF($A6="","",IF(发布任务!DZ6="",-1,发布任务!DZ6))</f>
        <v>-1</v>
      </c>
      <c r="DB6" s="1">
        <f>IF($A6="","",IF(发布任务!EA6="",-1,发布任务!EA6))</f>
        <v>-1</v>
      </c>
      <c r="DC6" s="1">
        <f>IF($A6="","",IF(发布任务!EB6="",-1,发布任务!EB6))</f>
        <v>-1</v>
      </c>
      <c r="DD6" s="1">
        <f>IF($A6="","",IF(发布任务!EC6="",-1,发布任务!EC6))</f>
        <v>-1</v>
      </c>
      <c r="DE6" s="1">
        <f>IF($A6="","",IF(发布任务!ED6="",-1,发布任务!ED6))</f>
        <v>-1</v>
      </c>
      <c r="DF6" s="1">
        <f>IF($A6="","",IF(发布任务!EE6="",-1,发布任务!EE6))</f>
        <v>-1</v>
      </c>
    </row>
    <row r="7" spans="2:110">
      <c r="B7" s="1" t="str">
        <f>IF($A7="","",VLOOKUP(A7,捏造NPC!$A:$R,5,FALSE))</f>
        <v/>
      </c>
      <c r="C7" s="1" t="str">
        <f>IF($A7="","",VLOOKUP(A7,捏造NPC!$A:$R,18,FALSE))</f>
        <v/>
      </c>
      <c r="D7" s="1" t="str">
        <f t="shared" si="0"/>
        <v/>
      </c>
      <c r="E7" s="1" t="str">
        <f t="shared" si="1"/>
        <v/>
      </c>
      <c r="J7" s="1"/>
      <c r="K7" s="1" t="str">
        <f>IF($A7="","",IF(发布任务!AJ7="",-1,发布任务!AJ7))</f>
        <v/>
      </c>
      <c r="L7" s="1" t="str">
        <f>IF($A7="","",IF(发布任务!AK7="",-1,发布任务!AK7))</f>
        <v/>
      </c>
      <c r="M7" s="1" t="str">
        <f>IF($A7="","",IF(发布任务!AL7="",-1,发布任务!AL7))</f>
        <v/>
      </c>
      <c r="N7" s="1" t="str">
        <f>IF($A7="","",IF(发布任务!AM7="",-1,发布任务!AM7))</f>
        <v/>
      </c>
      <c r="O7" s="1" t="str">
        <f>IF($A7="","",IF(发布任务!AN7="",-1,发布任务!AN7))</f>
        <v/>
      </c>
      <c r="P7" s="1" t="str">
        <f>IF($A7="","",IF(发布任务!AO7="",-1,发布任务!AO7))</f>
        <v/>
      </c>
      <c r="Q7" s="1" t="str">
        <f>IF($A7="","",IF(发布任务!AP7="",-1,发布任务!AP7))</f>
        <v/>
      </c>
      <c r="R7" s="1" t="str">
        <f>IF($A7="","",IF(发布任务!AQ7="",-1,发布任务!AQ7))</f>
        <v/>
      </c>
      <c r="S7" s="1" t="str">
        <f>IF($A7="","",IF(发布任务!AR7="",-1,发布任务!AR7))</f>
        <v/>
      </c>
      <c r="T7" s="1" t="str">
        <f>IF($A7="","",IF(发布任务!AS7="",-1,发布任务!AS7))</f>
        <v/>
      </c>
      <c r="U7" s="1" t="str">
        <f>IF($A7="","",IF(发布任务!AT7="",-1,发布任务!AT7))</f>
        <v/>
      </c>
      <c r="V7" s="1" t="str">
        <f>IF($A7="","",IF(发布任务!AU7="",-1,发布任务!AU7))</f>
        <v/>
      </c>
      <c r="W7" s="1" t="str">
        <f>IF($A7="","",IF(发布任务!AV7="",-1,发布任务!AV7))</f>
        <v/>
      </c>
      <c r="X7" s="1" t="str">
        <f>IF($A7="","",IF(发布任务!AW7="",-1,发布任务!AW7))</f>
        <v/>
      </c>
      <c r="Y7" s="1" t="str">
        <f>IF($A7="","",IF(发布任务!AX7="",-1,发布任务!AX7))</f>
        <v/>
      </c>
      <c r="Z7" s="1" t="str">
        <f>IF($A7="","",IF(发布任务!AY7="",-1,发布任务!AY7))</f>
        <v/>
      </c>
      <c r="AA7" s="1" t="str">
        <f>IF($A7="","",IF(发布任务!AZ7="",-1,发布任务!AZ7))</f>
        <v/>
      </c>
      <c r="AB7" s="1" t="str">
        <f>IF($A7="","",IF(发布任务!BA7="",-1,发布任务!BA7))</f>
        <v/>
      </c>
      <c r="AC7" s="1" t="str">
        <f>IF($A7="","",IF(发布任务!BB7="",-1,发布任务!BB7))</f>
        <v/>
      </c>
      <c r="AD7" s="1" t="str">
        <f>IF($A7="","",IF(发布任务!BC7="",-1,发布任务!BC7))</f>
        <v/>
      </c>
      <c r="AE7" s="1" t="str">
        <f>IF($A7="","",IF(发布任务!BD7="",-1,发布任务!BD7))</f>
        <v/>
      </c>
      <c r="AF7" s="1" t="str">
        <f>IF($A7="","",IF(发布任务!BE7="",-1,发布任务!BE7))</f>
        <v/>
      </c>
      <c r="AG7" s="1" t="str">
        <f>IF($A7="","",IF(发布任务!BF7="",-1,发布任务!BF7))</f>
        <v/>
      </c>
      <c r="AH7" s="1" t="str">
        <f>IF($A7="","",IF(发布任务!BG7="",-1,发布任务!BG7))</f>
        <v/>
      </c>
      <c r="AI7" s="1" t="str">
        <f>IF($A7="","",IF(发布任务!BH7="",-1,发布任务!BH7))</f>
        <v/>
      </c>
      <c r="AJ7" s="1" t="str">
        <f>IF($A7="","",IF(发布任务!BI7="",-1,发布任务!BI7))</f>
        <v/>
      </c>
      <c r="AK7" s="1" t="str">
        <f>IF($A7="","",IF(发布任务!BJ7="",-1,发布任务!BJ7))</f>
        <v/>
      </c>
      <c r="AL7" s="1" t="str">
        <f>IF($A7="","",IF(发布任务!BK7="",-1,发布任务!BK7))</f>
        <v/>
      </c>
      <c r="AM7" s="1" t="str">
        <f>IF($A7="","",IF(发布任务!BL7="",-1,发布任务!BL7))</f>
        <v/>
      </c>
      <c r="AN7" s="1" t="str">
        <f>IF($A7="","",IF(发布任务!BM7="",-1,发布任务!BM7))</f>
        <v/>
      </c>
      <c r="AO7" s="1" t="str">
        <f>IF($A7="","",IF(发布任务!BN7="",-1,发布任务!BN7))</f>
        <v/>
      </c>
      <c r="AP7" s="1" t="str">
        <f>IF($A7="","",IF(发布任务!BO7="",-1,发布任务!BO7))</f>
        <v/>
      </c>
      <c r="AQ7" s="1" t="str">
        <f>IF($A7="","",IF(发布任务!BP7="",-1,发布任务!BP7))</f>
        <v/>
      </c>
      <c r="AR7" s="1" t="str">
        <f>IF($A7="","",IF(发布任务!BQ7="",-1,发布任务!BQ7))</f>
        <v/>
      </c>
      <c r="AS7" s="1" t="str">
        <f>IF($A7="","",IF(发布任务!BR7="",-1,发布任务!BR7))</f>
        <v/>
      </c>
      <c r="AT7" s="1" t="str">
        <f>IF($A7="","",IF(发布任务!BS7="",-1,发布任务!BS7))</f>
        <v/>
      </c>
      <c r="AU7" s="1" t="str">
        <f>IF($A7="","",IF(发布任务!BT7="",-1,发布任务!BT7))</f>
        <v/>
      </c>
      <c r="AV7" s="1" t="str">
        <f>IF($A7="","",IF(发布任务!BU7="",-1,发布任务!BU7))</f>
        <v/>
      </c>
      <c r="AW7" s="1" t="str">
        <f>IF($A7="","",IF(发布任务!BV7="",-1,发布任务!BV7))</f>
        <v/>
      </c>
      <c r="AX7" s="1" t="str">
        <f>IF($A7="","",IF(发布任务!BW7="",-1,发布任务!BW7))</f>
        <v/>
      </c>
      <c r="AY7" s="1" t="str">
        <f>IF($A7="","",IF(发布任务!BX7="",-1,发布任务!BX7))</f>
        <v/>
      </c>
      <c r="AZ7" s="1" t="str">
        <f>IF($A7="","",IF(发布任务!BY7="",-1,发布任务!BY7))</f>
        <v/>
      </c>
      <c r="BA7" s="1" t="str">
        <f>IF($A7="","",IF(发布任务!BZ7="",-1,发布任务!BZ7))</f>
        <v/>
      </c>
      <c r="BB7" s="1" t="str">
        <f>IF($A7="","",IF(发布任务!CA7="",-1,发布任务!CA7))</f>
        <v/>
      </c>
      <c r="BC7" s="1" t="str">
        <f>IF($A7="","",IF(发布任务!CB7="",-1,发布任务!CB7))</f>
        <v/>
      </c>
      <c r="BD7" s="1" t="str">
        <f>IF($A7="","",IF(发布任务!CC7="",-1,发布任务!CC7))</f>
        <v/>
      </c>
      <c r="BE7" s="1" t="str">
        <f>IF($A7="","",IF(发布任务!CD7="",-1,发布任务!CD7))</f>
        <v/>
      </c>
      <c r="BF7" s="1" t="str">
        <f>IF($A7="","",IF(发布任务!CE7="",-1,发布任务!CE7))</f>
        <v/>
      </c>
      <c r="BG7" s="1" t="str">
        <f>IF($A7="","",IF(发布任务!CF7="",-1,发布任务!CF7))</f>
        <v/>
      </c>
      <c r="BH7" s="1" t="str">
        <f>IF($A7="","",IF(发布任务!CG7="",-1,发布任务!CG7))</f>
        <v/>
      </c>
      <c r="BI7" s="1" t="str">
        <f>IF($A7="","",IF(发布任务!CH7="",-1,发布任务!CH7))</f>
        <v/>
      </c>
      <c r="BJ7" s="1" t="str">
        <f>IF($A7="","",IF(发布任务!CI7="",-1,发布任务!CI7))</f>
        <v/>
      </c>
      <c r="BK7" s="1" t="str">
        <f>IF($A7="","",IF(发布任务!CJ7="",-1,发布任务!CJ7))</f>
        <v/>
      </c>
      <c r="BL7" s="1" t="str">
        <f>IF($A7="","",IF(发布任务!CK7="",-1,发布任务!CK7))</f>
        <v/>
      </c>
      <c r="BM7" s="1" t="str">
        <f>IF($A7="","",IF(发布任务!CL7="",-1,发布任务!CL7))</f>
        <v/>
      </c>
      <c r="BN7" s="1" t="str">
        <f>IF($A7="","",IF(发布任务!CM7="",-1,发布任务!CM7))</f>
        <v/>
      </c>
      <c r="BO7" s="1" t="str">
        <f>IF($A7="","",IF(发布任务!CN7="",-1,发布任务!CN7))</f>
        <v/>
      </c>
      <c r="BP7" s="1" t="str">
        <f>IF($A7="","",IF(发布任务!CO7="",-1,发布任务!CO7))</f>
        <v/>
      </c>
      <c r="BQ7" s="1" t="str">
        <f>IF($A7="","",IF(发布任务!CP7="",-1,发布任务!CP7))</f>
        <v/>
      </c>
      <c r="BR7" s="1" t="str">
        <f>IF($A7="","",IF(发布任务!CQ7="",-1,发布任务!CQ7))</f>
        <v/>
      </c>
      <c r="BS7" s="1" t="str">
        <f>IF($A7="","",IF(发布任务!CR7="",-1,发布任务!CR7))</f>
        <v/>
      </c>
      <c r="BT7" s="1" t="str">
        <f>IF($A7="","",IF(发布任务!CS7="",-1,发布任务!CS7))</f>
        <v/>
      </c>
      <c r="BU7" s="1" t="str">
        <f>IF($A7="","",IF(发布任务!CT7="",-1,发布任务!CT7))</f>
        <v/>
      </c>
      <c r="BV7" s="1" t="str">
        <f>IF($A7="","",IF(发布任务!CU7="",-1,发布任务!CU7))</f>
        <v/>
      </c>
      <c r="BW7" s="1" t="str">
        <f>IF($A7="","",IF(发布任务!CV7="",-1,发布任务!CV7))</f>
        <v/>
      </c>
      <c r="BX7" s="1" t="str">
        <f>IF($A7="","",IF(发布任务!CW7="",-1,发布任务!CW7))</f>
        <v/>
      </c>
      <c r="BY7" s="1" t="str">
        <f>IF($A7="","",IF(发布任务!CX7="",-1,发布任务!CX7))</f>
        <v/>
      </c>
      <c r="BZ7" s="1" t="str">
        <f>IF($A7="","",IF(发布任务!CY7="",-1,发布任务!CY7))</f>
        <v/>
      </c>
      <c r="CA7" s="1" t="str">
        <f>IF($A7="","",IF(发布任务!CZ7="",-1,发布任务!CZ7))</f>
        <v/>
      </c>
      <c r="CB7" s="1" t="str">
        <f>IF($A7="","",IF(发布任务!DA7="",-1,发布任务!DA7))</f>
        <v/>
      </c>
      <c r="CC7" s="1" t="str">
        <f>IF($A7="","",IF(发布任务!DB7="",-1,发布任务!DB7))</f>
        <v/>
      </c>
      <c r="CD7" s="1" t="str">
        <f>IF($A7="","",IF(发布任务!DC7="",-1,发布任务!DC7))</f>
        <v/>
      </c>
      <c r="CE7" s="1" t="str">
        <f>IF($A7="","",IF(发布任务!DD7="",-1,发布任务!DD7))</f>
        <v/>
      </c>
      <c r="CF7" s="1" t="str">
        <f>IF($A7="","",IF(发布任务!DE7="",-1,发布任务!DE7))</f>
        <v/>
      </c>
      <c r="CG7" s="1" t="str">
        <f>IF($A7="","",IF(发布任务!DF7="",-1,发布任务!DF7))</f>
        <v/>
      </c>
      <c r="CH7" s="1" t="str">
        <f>IF($A7="","",IF(发布任务!DG7="",-1,发布任务!DG7))</f>
        <v/>
      </c>
      <c r="CI7" s="1" t="str">
        <f>IF($A7="","",IF(发布任务!DH7="",-1,发布任务!DH7))</f>
        <v/>
      </c>
      <c r="CJ7" s="1" t="str">
        <f>IF($A7="","",IF(发布任务!DI7="",-1,发布任务!DI7))</f>
        <v/>
      </c>
      <c r="CK7" s="1" t="str">
        <f>IF($A7="","",IF(发布任务!DJ7="",-1,发布任务!DJ7))</f>
        <v/>
      </c>
      <c r="CL7" s="1" t="str">
        <f>IF($A7="","",IF(发布任务!DK7="",-1,发布任务!DK7))</f>
        <v/>
      </c>
      <c r="CM7" s="1" t="str">
        <f>IF($A7="","",IF(发布任务!DL7="",-1,发布任务!DL7))</f>
        <v/>
      </c>
      <c r="CN7" s="1" t="str">
        <f>IF($A7="","",IF(发布任务!DM7="",-1,发布任务!DM7))</f>
        <v/>
      </c>
      <c r="CO7" s="1" t="str">
        <f>IF($A7="","",IF(发布任务!DN7="",-1,发布任务!DN7))</f>
        <v/>
      </c>
      <c r="CP7" s="1" t="str">
        <f>IF($A7="","",IF(发布任务!DO7="",-1,发布任务!DO7))</f>
        <v/>
      </c>
      <c r="CQ7" s="1" t="str">
        <f>IF($A7="","",IF(发布任务!DP7="",-1,发布任务!DP7))</f>
        <v/>
      </c>
      <c r="CR7" s="1" t="str">
        <f>IF($A7="","",IF(发布任务!DQ7="",-1,发布任务!DQ7))</f>
        <v/>
      </c>
      <c r="CS7" s="1" t="str">
        <f>IF($A7="","",IF(发布任务!DR7="",-1,发布任务!DR7))</f>
        <v/>
      </c>
      <c r="CT7" s="1" t="str">
        <f>IF($A7="","",IF(发布任务!DS7="",-1,发布任务!DS7))</f>
        <v/>
      </c>
      <c r="CU7" s="1" t="str">
        <f>IF($A7="","",IF(发布任务!DT7="",-1,发布任务!DT7))</f>
        <v/>
      </c>
      <c r="CV7" s="1" t="str">
        <f>IF($A7="","",IF(发布任务!DU7="",-1,发布任务!DU7))</f>
        <v/>
      </c>
      <c r="CW7" s="1" t="str">
        <f>IF($A7="","",IF(发布任务!DV7="",-1,发布任务!DV7))</f>
        <v/>
      </c>
      <c r="CX7" s="1" t="str">
        <f>IF($A7="","",IF(发布任务!DW7="",-1,发布任务!DW7))</f>
        <v/>
      </c>
      <c r="CY7" s="1" t="str">
        <f>IF($A7="","",IF(发布任务!DX7="",-1,发布任务!DX7))</f>
        <v/>
      </c>
      <c r="CZ7" s="1" t="str">
        <f>IF($A7="","",IF(发布任务!DY7="",-1,发布任务!DY7))</f>
        <v/>
      </c>
      <c r="DA7" s="1" t="str">
        <f>IF($A7="","",IF(发布任务!DZ7="",-1,发布任务!DZ7))</f>
        <v/>
      </c>
      <c r="DB7" s="1" t="str">
        <f>IF($A7="","",IF(发布任务!EA7="",-1,发布任务!EA7))</f>
        <v/>
      </c>
      <c r="DC7" s="1" t="str">
        <f>IF($A7="","",IF(发布任务!EB7="",-1,发布任务!EB7))</f>
        <v/>
      </c>
      <c r="DD7" s="1" t="str">
        <f>IF($A7="","",IF(发布任务!EC7="",-1,发布任务!EC7))</f>
        <v/>
      </c>
      <c r="DE7" s="1" t="str">
        <f>IF($A7="","",IF(发布任务!ED7="",-1,发布任务!ED7))</f>
        <v/>
      </c>
      <c r="DF7" s="1" t="str">
        <f>IF($A7="","",IF(发布任务!EE7="",-1,发布任务!EE7))</f>
        <v/>
      </c>
    </row>
    <row r="8" spans="2:110">
      <c r="B8" s="1" t="str">
        <f>IF($A8="","",VLOOKUP(A8,捏造NPC!$A:$R,5,FALSE))</f>
        <v/>
      </c>
      <c r="C8" s="1" t="str">
        <f>IF($A8="","",VLOOKUP(A8,捏造NPC!$A:$R,18,FALSE))</f>
        <v/>
      </c>
      <c r="D8" s="1" t="str">
        <f t="shared" si="0"/>
        <v/>
      </c>
      <c r="E8" s="1" t="str">
        <f t="shared" si="1"/>
        <v/>
      </c>
      <c r="J8" s="1"/>
      <c r="K8" s="1" t="str">
        <f>IF($A8="","",IF(发布任务!AJ8="",-1,发布任务!AJ8))</f>
        <v/>
      </c>
      <c r="L8" s="1" t="str">
        <f>IF($A8="","",IF(发布任务!AK8="",-1,发布任务!AK8))</f>
        <v/>
      </c>
      <c r="M8" s="1" t="str">
        <f>IF($A8="","",IF(发布任务!AL8="",-1,发布任务!AL8))</f>
        <v/>
      </c>
      <c r="N8" s="1" t="str">
        <f>IF($A8="","",IF(发布任务!AM8="",-1,发布任务!AM8))</f>
        <v/>
      </c>
      <c r="O8" s="1" t="str">
        <f>IF($A8="","",IF(发布任务!AN8="",-1,发布任务!AN8))</f>
        <v/>
      </c>
      <c r="P8" s="1" t="str">
        <f>IF($A8="","",IF(发布任务!AO8="",-1,发布任务!AO8))</f>
        <v/>
      </c>
      <c r="Q8" s="1" t="str">
        <f>IF($A8="","",IF(发布任务!AP8="",-1,发布任务!AP8))</f>
        <v/>
      </c>
      <c r="R8" s="1" t="str">
        <f>IF($A8="","",IF(发布任务!AQ8="",-1,发布任务!AQ8))</f>
        <v/>
      </c>
      <c r="S8" s="1" t="str">
        <f>IF($A8="","",IF(发布任务!AR8="",-1,发布任务!AR8))</f>
        <v/>
      </c>
      <c r="T8" s="1" t="str">
        <f>IF($A8="","",IF(发布任务!AS8="",-1,发布任务!AS8))</f>
        <v/>
      </c>
      <c r="U8" s="1" t="str">
        <f>IF($A8="","",IF(发布任务!AT8="",-1,发布任务!AT8))</f>
        <v/>
      </c>
      <c r="V8" s="1" t="str">
        <f>IF($A8="","",IF(发布任务!AU8="",-1,发布任务!AU8))</f>
        <v/>
      </c>
      <c r="W8" s="1" t="str">
        <f>IF($A8="","",IF(发布任务!AV8="",-1,发布任务!AV8))</f>
        <v/>
      </c>
      <c r="X8" s="1" t="str">
        <f>IF($A8="","",IF(发布任务!AW8="",-1,发布任务!AW8))</f>
        <v/>
      </c>
      <c r="Y8" s="1" t="str">
        <f>IF($A8="","",IF(发布任务!AX8="",-1,发布任务!AX8))</f>
        <v/>
      </c>
      <c r="Z8" s="1" t="str">
        <f>IF($A8="","",IF(发布任务!AY8="",-1,发布任务!AY8))</f>
        <v/>
      </c>
      <c r="AA8" s="1" t="str">
        <f>IF($A8="","",IF(发布任务!AZ8="",-1,发布任务!AZ8))</f>
        <v/>
      </c>
      <c r="AB8" s="1" t="str">
        <f>IF($A8="","",IF(发布任务!BA8="",-1,发布任务!BA8))</f>
        <v/>
      </c>
      <c r="AC8" s="1" t="str">
        <f>IF($A8="","",IF(发布任务!BB8="",-1,发布任务!BB8))</f>
        <v/>
      </c>
      <c r="AD8" s="1" t="str">
        <f>IF($A8="","",IF(发布任务!BC8="",-1,发布任务!BC8))</f>
        <v/>
      </c>
      <c r="AE8" s="1" t="str">
        <f>IF($A8="","",IF(发布任务!BD8="",-1,发布任务!BD8))</f>
        <v/>
      </c>
      <c r="AF8" s="1" t="str">
        <f>IF($A8="","",IF(发布任务!BE8="",-1,发布任务!BE8))</f>
        <v/>
      </c>
      <c r="AG8" s="1" t="str">
        <f>IF($A8="","",IF(发布任务!BF8="",-1,发布任务!BF8))</f>
        <v/>
      </c>
      <c r="AH8" s="1" t="str">
        <f>IF($A8="","",IF(发布任务!BG8="",-1,发布任务!BG8))</f>
        <v/>
      </c>
      <c r="AI8" s="1" t="str">
        <f>IF($A8="","",IF(发布任务!BH8="",-1,发布任务!BH8))</f>
        <v/>
      </c>
      <c r="AJ8" s="1" t="str">
        <f>IF($A8="","",IF(发布任务!BI8="",-1,发布任务!BI8))</f>
        <v/>
      </c>
      <c r="AK8" s="1" t="str">
        <f>IF($A8="","",IF(发布任务!BJ8="",-1,发布任务!BJ8))</f>
        <v/>
      </c>
      <c r="AL8" s="1" t="str">
        <f>IF($A8="","",IF(发布任务!BK8="",-1,发布任务!BK8))</f>
        <v/>
      </c>
      <c r="AM8" s="1" t="str">
        <f>IF($A8="","",IF(发布任务!BL8="",-1,发布任务!BL8))</f>
        <v/>
      </c>
      <c r="AN8" s="1" t="str">
        <f>IF($A8="","",IF(发布任务!BM8="",-1,发布任务!BM8))</f>
        <v/>
      </c>
      <c r="AO8" s="1" t="str">
        <f>IF($A8="","",IF(发布任务!BN8="",-1,发布任务!BN8))</f>
        <v/>
      </c>
      <c r="AP8" s="1" t="str">
        <f>IF($A8="","",IF(发布任务!BO8="",-1,发布任务!BO8))</f>
        <v/>
      </c>
      <c r="AQ8" s="1" t="str">
        <f>IF($A8="","",IF(发布任务!BP8="",-1,发布任务!BP8))</f>
        <v/>
      </c>
      <c r="AR8" s="1" t="str">
        <f>IF($A8="","",IF(发布任务!BQ8="",-1,发布任务!BQ8))</f>
        <v/>
      </c>
      <c r="AS8" s="1" t="str">
        <f>IF($A8="","",IF(发布任务!BR8="",-1,发布任务!BR8))</f>
        <v/>
      </c>
      <c r="AT8" s="1" t="str">
        <f>IF($A8="","",IF(发布任务!BS8="",-1,发布任务!BS8))</f>
        <v/>
      </c>
      <c r="AU8" s="1" t="str">
        <f>IF($A8="","",IF(发布任务!BT8="",-1,发布任务!BT8))</f>
        <v/>
      </c>
      <c r="AV8" s="1" t="str">
        <f>IF($A8="","",IF(发布任务!BU8="",-1,发布任务!BU8))</f>
        <v/>
      </c>
      <c r="AW8" s="1" t="str">
        <f>IF($A8="","",IF(发布任务!BV8="",-1,发布任务!BV8))</f>
        <v/>
      </c>
      <c r="AX8" s="1" t="str">
        <f>IF($A8="","",IF(发布任务!BW8="",-1,发布任务!BW8))</f>
        <v/>
      </c>
      <c r="AY8" s="1" t="str">
        <f>IF($A8="","",IF(发布任务!BX8="",-1,发布任务!BX8))</f>
        <v/>
      </c>
      <c r="AZ8" s="1" t="str">
        <f>IF($A8="","",IF(发布任务!BY8="",-1,发布任务!BY8))</f>
        <v/>
      </c>
      <c r="BA8" s="1" t="str">
        <f>IF($A8="","",IF(发布任务!BZ8="",-1,发布任务!BZ8))</f>
        <v/>
      </c>
      <c r="BB8" s="1" t="str">
        <f>IF($A8="","",IF(发布任务!CA8="",-1,发布任务!CA8))</f>
        <v/>
      </c>
      <c r="BC8" s="1" t="str">
        <f>IF($A8="","",IF(发布任务!CB8="",-1,发布任务!CB8))</f>
        <v/>
      </c>
      <c r="BD8" s="1" t="str">
        <f>IF($A8="","",IF(发布任务!CC8="",-1,发布任务!CC8))</f>
        <v/>
      </c>
      <c r="BE8" s="1" t="str">
        <f>IF($A8="","",IF(发布任务!CD8="",-1,发布任务!CD8))</f>
        <v/>
      </c>
      <c r="BF8" s="1" t="str">
        <f>IF($A8="","",IF(发布任务!CE8="",-1,发布任务!CE8))</f>
        <v/>
      </c>
      <c r="BG8" s="1" t="str">
        <f>IF($A8="","",IF(发布任务!CF8="",-1,发布任务!CF8))</f>
        <v/>
      </c>
      <c r="BH8" s="1" t="str">
        <f>IF($A8="","",IF(发布任务!CG8="",-1,发布任务!CG8))</f>
        <v/>
      </c>
      <c r="BI8" s="1" t="str">
        <f>IF($A8="","",IF(发布任务!CH8="",-1,发布任务!CH8))</f>
        <v/>
      </c>
      <c r="BJ8" s="1" t="str">
        <f>IF($A8="","",IF(发布任务!CI8="",-1,发布任务!CI8))</f>
        <v/>
      </c>
      <c r="BK8" s="1" t="str">
        <f>IF($A8="","",IF(发布任务!CJ8="",-1,发布任务!CJ8))</f>
        <v/>
      </c>
      <c r="BL8" s="1" t="str">
        <f>IF($A8="","",IF(发布任务!CK8="",-1,发布任务!CK8))</f>
        <v/>
      </c>
      <c r="BM8" s="1" t="str">
        <f>IF($A8="","",IF(发布任务!CL8="",-1,发布任务!CL8))</f>
        <v/>
      </c>
      <c r="BN8" s="1" t="str">
        <f>IF($A8="","",IF(发布任务!CM8="",-1,发布任务!CM8))</f>
        <v/>
      </c>
      <c r="BO8" s="1" t="str">
        <f>IF($A8="","",IF(发布任务!CN8="",-1,发布任务!CN8))</f>
        <v/>
      </c>
      <c r="BP8" s="1" t="str">
        <f>IF($A8="","",IF(发布任务!CO8="",-1,发布任务!CO8))</f>
        <v/>
      </c>
      <c r="BQ8" s="1" t="str">
        <f>IF($A8="","",IF(发布任务!CP8="",-1,发布任务!CP8))</f>
        <v/>
      </c>
      <c r="BR8" s="1" t="str">
        <f>IF($A8="","",IF(发布任务!CQ8="",-1,发布任务!CQ8))</f>
        <v/>
      </c>
      <c r="BS8" s="1" t="str">
        <f>IF($A8="","",IF(发布任务!CR8="",-1,发布任务!CR8))</f>
        <v/>
      </c>
      <c r="BT8" s="1" t="str">
        <f>IF($A8="","",IF(发布任务!CS8="",-1,发布任务!CS8))</f>
        <v/>
      </c>
      <c r="BU8" s="1" t="str">
        <f>IF($A8="","",IF(发布任务!CT8="",-1,发布任务!CT8))</f>
        <v/>
      </c>
      <c r="BV8" s="1" t="str">
        <f>IF($A8="","",IF(发布任务!CU8="",-1,发布任务!CU8))</f>
        <v/>
      </c>
      <c r="BW8" s="1" t="str">
        <f>IF($A8="","",IF(发布任务!CV8="",-1,发布任务!CV8))</f>
        <v/>
      </c>
      <c r="BX8" s="1" t="str">
        <f>IF($A8="","",IF(发布任务!CW8="",-1,发布任务!CW8))</f>
        <v/>
      </c>
      <c r="BY8" s="1" t="str">
        <f>IF($A8="","",IF(发布任务!CX8="",-1,发布任务!CX8))</f>
        <v/>
      </c>
      <c r="BZ8" s="1" t="str">
        <f>IF($A8="","",IF(发布任务!CY8="",-1,发布任务!CY8))</f>
        <v/>
      </c>
      <c r="CA8" s="1" t="str">
        <f>IF($A8="","",IF(发布任务!CZ8="",-1,发布任务!CZ8))</f>
        <v/>
      </c>
      <c r="CB8" s="1" t="str">
        <f>IF($A8="","",IF(发布任务!DA8="",-1,发布任务!DA8))</f>
        <v/>
      </c>
      <c r="CC8" s="1" t="str">
        <f>IF($A8="","",IF(发布任务!DB8="",-1,发布任务!DB8))</f>
        <v/>
      </c>
      <c r="CD8" s="1" t="str">
        <f>IF($A8="","",IF(发布任务!DC8="",-1,发布任务!DC8))</f>
        <v/>
      </c>
      <c r="CE8" s="1" t="str">
        <f>IF($A8="","",IF(发布任务!DD8="",-1,发布任务!DD8))</f>
        <v/>
      </c>
      <c r="CF8" s="1" t="str">
        <f>IF($A8="","",IF(发布任务!DE8="",-1,发布任务!DE8))</f>
        <v/>
      </c>
      <c r="CG8" s="1" t="str">
        <f>IF($A8="","",IF(发布任务!DF8="",-1,发布任务!DF8))</f>
        <v/>
      </c>
      <c r="CH8" s="1" t="str">
        <f>IF($A8="","",IF(发布任务!DG8="",-1,发布任务!DG8))</f>
        <v/>
      </c>
      <c r="CI8" s="1" t="str">
        <f>IF($A8="","",IF(发布任务!DH8="",-1,发布任务!DH8))</f>
        <v/>
      </c>
      <c r="CJ8" s="1" t="str">
        <f>IF($A8="","",IF(发布任务!DI8="",-1,发布任务!DI8))</f>
        <v/>
      </c>
      <c r="CK8" s="1" t="str">
        <f>IF($A8="","",IF(发布任务!DJ8="",-1,发布任务!DJ8))</f>
        <v/>
      </c>
      <c r="CL8" s="1" t="str">
        <f>IF($A8="","",IF(发布任务!DK8="",-1,发布任务!DK8))</f>
        <v/>
      </c>
      <c r="CM8" s="1" t="str">
        <f>IF($A8="","",IF(发布任务!DL8="",-1,发布任务!DL8))</f>
        <v/>
      </c>
      <c r="CN8" s="1" t="str">
        <f>IF($A8="","",IF(发布任务!DM8="",-1,发布任务!DM8))</f>
        <v/>
      </c>
      <c r="CO8" s="1" t="str">
        <f>IF($A8="","",IF(发布任务!DN8="",-1,发布任务!DN8))</f>
        <v/>
      </c>
      <c r="CP8" s="1" t="str">
        <f>IF($A8="","",IF(发布任务!DO8="",-1,发布任务!DO8))</f>
        <v/>
      </c>
      <c r="CQ8" s="1" t="str">
        <f>IF($A8="","",IF(发布任务!DP8="",-1,发布任务!DP8))</f>
        <v/>
      </c>
      <c r="CR8" s="1" t="str">
        <f>IF($A8="","",IF(发布任务!DQ8="",-1,发布任务!DQ8))</f>
        <v/>
      </c>
      <c r="CS8" s="1" t="str">
        <f>IF($A8="","",IF(发布任务!DR8="",-1,发布任务!DR8))</f>
        <v/>
      </c>
      <c r="CT8" s="1" t="str">
        <f>IF($A8="","",IF(发布任务!DS8="",-1,发布任务!DS8))</f>
        <v/>
      </c>
      <c r="CU8" s="1" t="str">
        <f>IF($A8="","",IF(发布任务!DT8="",-1,发布任务!DT8))</f>
        <v/>
      </c>
      <c r="CV8" s="1" t="str">
        <f>IF($A8="","",IF(发布任务!DU8="",-1,发布任务!DU8))</f>
        <v/>
      </c>
      <c r="CW8" s="1" t="str">
        <f>IF($A8="","",IF(发布任务!DV8="",-1,发布任务!DV8))</f>
        <v/>
      </c>
      <c r="CX8" s="1" t="str">
        <f>IF($A8="","",IF(发布任务!DW8="",-1,发布任务!DW8))</f>
        <v/>
      </c>
      <c r="CY8" s="1" t="str">
        <f>IF($A8="","",IF(发布任务!DX8="",-1,发布任务!DX8))</f>
        <v/>
      </c>
      <c r="CZ8" s="1" t="str">
        <f>IF($A8="","",IF(发布任务!DY8="",-1,发布任务!DY8))</f>
        <v/>
      </c>
      <c r="DA8" s="1" t="str">
        <f>IF($A8="","",IF(发布任务!DZ8="",-1,发布任务!DZ8))</f>
        <v/>
      </c>
      <c r="DB8" s="1" t="str">
        <f>IF($A8="","",IF(发布任务!EA8="",-1,发布任务!EA8))</f>
        <v/>
      </c>
      <c r="DC8" s="1" t="str">
        <f>IF($A8="","",IF(发布任务!EB8="",-1,发布任务!EB8))</f>
        <v/>
      </c>
      <c r="DD8" s="1" t="str">
        <f>IF($A8="","",IF(发布任务!EC8="",-1,发布任务!EC8))</f>
        <v/>
      </c>
      <c r="DE8" s="1" t="str">
        <f>IF($A8="","",IF(发布任务!ED8="",-1,发布任务!ED8))</f>
        <v/>
      </c>
      <c r="DF8" s="1" t="str">
        <f>IF($A8="","",IF(发布任务!EE8="",-1,发布任务!EE8))</f>
        <v/>
      </c>
    </row>
    <row r="9" spans="2:110">
      <c r="B9" s="1" t="str">
        <f>IF($A9="","",VLOOKUP(A9,捏造NPC!$A:$R,5,FALSE))</f>
        <v/>
      </c>
      <c r="C9" s="1" t="str">
        <f>IF($A9="","",VLOOKUP(A9,捏造NPC!$A:$R,18,FALSE))</f>
        <v/>
      </c>
      <c r="D9" s="1" t="str">
        <f t="shared" si="0"/>
        <v/>
      </c>
      <c r="E9" s="1" t="str">
        <f t="shared" si="1"/>
        <v/>
      </c>
      <c r="J9" s="1"/>
      <c r="K9" s="1" t="str">
        <f>IF($A9="","",IF(发布任务!AJ9="",-1,发布任务!AJ9))</f>
        <v/>
      </c>
      <c r="L9" s="1" t="str">
        <f>IF($A9="","",IF(发布任务!AK9="",-1,发布任务!AK9))</f>
        <v/>
      </c>
      <c r="M9" s="1" t="str">
        <f>IF($A9="","",IF(发布任务!AL9="",-1,发布任务!AL9))</f>
        <v/>
      </c>
      <c r="N9" s="1" t="str">
        <f>IF($A9="","",IF(发布任务!AM9="",-1,发布任务!AM9))</f>
        <v/>
      </c>
      <c r="O9" s="1" t="str">
        <f>IF($A9="","",IF(发布任务!AN9="",-1,发布任务!AN9))</f>
        <v/>
      </c>
      <c r="P9" s="1" t="str">
        <f>IF($A9="","",IF(发布任务!AO9="",-1,发布任务!AO9))</f>
        <v/>
      </c>
      <c r="Q9" s="1" t="str">
        <f>IF($A9="","",IF(发布任务!AP9="",-1,发布任务!AP9))</f>
        <v/>
      </c>
      <c r="R9" s="1" t="str">
        <f>IF($A9="","",IF(发布任务!AQ9="",-1,发布任务!AQ9))</f>
        <v/>
      </c>
      <c r="S9" s="1" t="str">
        <f>IF($A9="","",IF(发布任务!AR9="",-1,发布任务!AR9))</f>
        <v/>
      </c>
      <c r="T9" s="1" t="str">
        <f>IF($A9="","",IF(发布任务!AS9="",-1,发布任务!AS9))</f>
        <v/>
      </c>
      <c r="U9" s="1" t="str">
        <f>IF($A9="","",IF(发布任务!AT9="",-1,发布任务!AT9))</f>
        <v/>
      </c>
      <c r="V9" s="1" t="str">
        <f>IF($A9="","",IF(发布任务!AU9="",-1,发布任务!AU9))</f>
        <v/>
      </c>
      <c r="W9" s="1" t="str">
        <f>IF($A9="","",IF(发布任务!AV9="",-1,发布任务!AV9))</f>
        <v/>
      </c>
      <c r="X9" s="1" t="str">
        <f>IF($A9="","",IF(发布任务!AW9="",-1,发布任务!AW9))</f>
        <v/>
      </c>
      <c r="Y9" s="1" t="str">
        <f>IF($A9="","",IF(发布任务!AX9="",-1,发布任务!AX9))</f>
        <v/>
      </c>
      <c r="Z9" s="1" t="str">
        <f>IF($A9="","",IF(发布任务!AY9="",-1,发布任务!AY9))</f>
        <v/>
      </c>
      <c r="AA9" s="1" t="str">
        <f>IF($A9="","",IF(发布任务!AZ9="",-1,发布任务!AZ9))</f>
        <v/>
      </c>
      <c r="AB9" s="1" t="str">
        <f>IF($A9="","",IF(发布任务!BA9="",-1,发布任务!BA9))</f>
        <v/>
      </c>
      <c r="AC9" s="1" t="str">
        <f>IF($A9="","",IF(发布任务!BB9="",-1,发布任务!BB9))</f>
        <v/>
      </c>
      <c r="AD9" s="1" t="str">
        <f>IF($A9="","",IF(发布任务!BC9="",-1,发布任务!BC9))</f>
        <v/>
      </c>
      <c r="AE9" s="1" t="str">
        <f>IF($A9="","",IF(发布任务!BD9="",-1,发布任务!BD9))</f>
        <v/>
      </c>
      <c r="AF9" s="1" t="str">
        <f>IF($A9="","",IF(发布任务!BE9="",-1,发布任务!BE9))</f>
        <v/>
      </c>
      <c r="AG9" s="1" t="str">
        <f>IF($A9="","",IF(发布任务!BF9="",-1,发布任务!BF9))</f>
        <v/>
      </c>
      <c r="AH9" s="1" t="str">
        <f>IF($A9="","",IF(发布任务!BG9="",-1,发布任务!BG9))</f>
        <v/>
      </c>
      <c r="AI9" s="1" t="str">
        <f>IF($A9="","",IF(发布任务!BH9="",-1,发布任务!BH9))</f>
        <v/>
      </c>
      <c r="AJ9" s="1" t="str">
        <f>IF($A9="","",IF(发布任务!BI9="",-1,发布任务!BI9))</f>
        <v/>
      </c>
      <c r="AK9" s="1" t="str">
        <f>IF($A9="","",IF(发布任务!BJ9="",-1,发布任务!BJ9))</f>
        <v/>
      </c>
      <c r="AL9" s="1" t="str">
        <f>IF($A9="","",IF(发布任务!BK9="",-1,发布任务!BK9))</f>
        <v/>
      </c>
      <c r="AM9" s="1" t="str">
        <f>IF($A9="","",IF(发布任务!BL9="",-1,发布任务!BL9))</f>
        <v/>
      </c>
      <c r="AN9" s="1" t="str">
        <f>IF($A9="","",IF(发布任务!BM9="",-1,发布任务!BM9))</f>
        <v/>
      </c>
      <c r="AO9" s="1" t="str">
        <f>IF($A9="","",IF(发布任务!BN9="",-1,发布任务!BN9))</f>
        <v/>
      </c>
      <c r="AP9" s="1" t="str">
        <f>IF($A9="","",IF(发布任务!BO9="",-1,发布任务!BO9))</f>
        <v/>
      </c>
      <c r="AQ9" s="1" t="str">
        <f>IF($A9="","",IF(发布任务!BP9="",-1,发布任务!BP9))</f>
        <v/>
      </c>
      <c r="AR9" s="1" t="str">
        <f>IF($A9="","",IF(发布任务!BQ9="",-1,发布任务!BQ9))</f>
        <v/>
      </c>
      <c r="AS9" s="1" t="str">
        <f>IF($A9="","",IF(发布任务!BR9="",-1,发布任务!BR9))</f>
        <v/>
      </c>
      <c r="AT9" s="1" t="str">
        <f>IF($A9="","",IF(发布任务!BS9="",-1,发布任务!BS9))</f>
        <v/>
      </c>
      <c r="AU9" s="1" t="str">
        <f>IF($A9="","",IF(发布任务!BT9="",-1,发布任务!BT9))</f>
        <v/>
      </c>
      <c r="AV9" s="1" t="str">
        <f>IF($A9="","",IF(发布任务!BU9="",-1,发布任务!BU9))</f>
        <v/>
      </c>
      <c r="AW9" s="1" t="str">
        <f>IF($A9="","",IF(发布任务!BV9="",-1,发布任务!BV9))</f>
        <v/>
      </c>
      <c r="AX9" s="1" t="str">
        <f>IF($A9="","",IF(发布任务!BW9="",-1,发布任务!BW9))</f>
        <v/>
      </c>
      <c r="AY9" s="1" t="str">
        <f>IF($A9="","",IF(发布任务!BX9="",-1,发布任务!BX9))</f>
        <v/>
      </c>
      <c r="AZ9" s="1" t="str">
        <f>IF($A9="","",IF(发布任务!BY9="",-1,发布任务!BY9))</f>
        <v/>
      </c>
      <c r="BA9" s="1" t="str">
        <f>IF($A9="","",IF(发布任务!BZ9="",-1,发布任务!BZ9))</f>
        <v/>
      </c>
      <c r="BB9" s="1" t="str">
        <f>IF($A9="","",IF(发布任务!CA9="",-1,发布任务!CA9))</f>
        <v/>
      </c>
      <c r="BC9" s="1" t="str">
        <f>IF($A9="","",IF(发布任务!CB9="",-1,发布任务!CB9))</f>
        <v/>
      </c>
      <c r="BD9" s="1" t="str">
        <f>IF($A9="","",IF(发布任务!CC9="",-1,发布任务!CC9))</f>
        <v/>
      </c>
      <c r="BE9" s="1" t="str">
        <f>IF($A9="","",IF(发布任务!CD9="",-1,发布任务!CD9))</f>
        <v/>
      </c>
      <c r="BF9" s="1" t="str">
        <f>IF($A9="","",IF(发布任务!CE9="",-1,发布任务!CE9))</f>
        <v/>
      </c>
      <c r="BG9" s="1" t="str">
        <f>IF($A9="","",IF(发布任务!CF9="",-1,发布任务!CF9))</f>
        <v/>
      </c>
      <c r="BH9" s="1" t="str">
        <f>IF($A9="","",IF(发布任务!CG9="",-1,发布任务!CG9))</f>
        <v/>
      </c>
      <c r="BI9" s="1" t="str">
        <f>IF($A9="","",IF(发布任务!CH9="",-1,发布任务!CH9))</f>
        <v/>
      </c>
      <c r="BJ9" s="1" t="str">
        <f>IF($A9="","",IF(发布任务!CI9="",-1,发布任务!CI9))</f>
        <v/>
      </c>
      <c r="BK9" s="1" t="str">
        <f>IF($A9="","",IF(发布任务!CJ9="",-1,发布任务!CJ9))</f>
        <v/>
      </c>
      <c r="BL9" s="1" t="str">
        <f>IF($A9="","",IF(发布任务!CK9="",-1,发布任务!CK9))</f>
        <v/>
      </c>
      <c r="BM9" s="1" t="str">
        <f>IF($A9="","",IF(发布任务!CL9="",-1,发布任务!CL9))</f>
        <v/>
      </c>
      <c r="BN9" s="1" t="str">
        <f>IF($A9="","",IF(发布任务!CM9="",-1,发布任务!CM9))</f>
        <v/>
      </c>
      <c r="BO9" s="1" t="str">
        <f>IF($A9="","",IF(发布任务!CN9="",-1,发布任务!CN9))</f>
        <v/>
      </c>
      <c r="BP9" s="1" t="str">
        <f>IF($A9="","",IF(发布任务!CO9="",-1,发布任务!CO9))</f>
        <v/>
      </c>
      <c r="BQ9" s="1" t="str">
        <f>IF($A9="","",IF(发布任务!CP9="",-1,发布任务!CP9))</f>
        <v/>
      </c>
      <c r="BR9" s="1" t="str">
        <f>IF($A9="","",IF(发布任务!CQ9="",-1,发布任务!CQ9))</f>
        <v/>
      </c>
      <c r="BS9" s="1" t="str">
        <f>IF($A9="","",IF(发布任务!CR9="",-1,发布任务!CR9))</f>
        <v/>
      </c>
      <c r="BT9" s="1" t="str">
        <f>IF($A9="","",IF(发布任务!CS9="",-1,发布任务!CS9))</f>
        <v/>
      </c>
      <c r="BU9" s="1" t="str">
        <f>IF($A9="","",IF(发布任务!CT9="",-1,发布任务!CT9))</f>
        <v/>
      </c>
      <c r="BV9" s="1" t="str">
        <f>IF($A9="","",IF(发布任务!CU9="",-1,发布任务!CU9))</f>
        <v/>
      </c>
      <c r="BW9" s="1" t="str">
        <f>IF($A9="","",IF(发布任务!CV9="",-1,发布任务!CV9))</f>
        <v/>
      </c>
      <c r="BX9" s="1" t="str">
        <f>IF($A9="","",IF(发布任务!CW9="",-1,发布任务!CW9))</f>
        <v/>
      </c>
      <c r="BY9" s="1" t="str">
        <f>IF($A9="","",IF(发布任务!CX9="",-1,发布任务!CX9))</f>
        <v/>
      </c>
      <c r="BZ9" s="1" t="str">
        <f>IF($A9="","",IF(发布任务!CY9="",-1,发布任务!CY9))</f>
        <v/>
      </c>
      <c r="CA9" s="1" t="str">
        <f>IF($A9="","",IF(发布任务!CZ9="",-1,发布任务!CZ9))</f>
        <v/>
      </c>
      <c r="CB9" s="1" t="str">
        <f>IF($A9="","",IF(发布任务!DA9="",-1,发布任务!DA9))</f>
        <v/>
      </c>
      <c r="CC9" s="1" t="str">
        <f>IF($A9="","",IF(发布任务!DB9="",-1,发布任务!DB9))</f>
        <v/>
      </c>
      <c r="CD9" s="1" t="str">
        <f>IF($A9="","",IF(发布任务!DC9="",-1,发布任务!DC9))</f>
        <v/>
      </c>
      <c r="CE9" s="1" t="str">
        <f>IF($A9="","",IF(发布任务!DD9="",-1,发布任务!DD9))</f>
        <v/>
      </c>
      <c r="CF9" s="1" t="str">
        <f>IF($A9="","",IF(发布任务!DE9="",-1,发布任务!DE9))</f>
        <v/>
      </c>
      <c r="CG9" s="1" t="str">
        <f>IF($A9="","",IF(发布任务!DF9="",-1,发布任务!DF9))</f>
        <v/>
      </c>
      <c r="CH9" s="1" t="str">
        <f>IF($A9="","",IF(发布任务!DG9="",-1,发布任务!DG9))</f>
        <v/>
      </c>
      <c r="CI9" s="1" t="str">
        <f>IF($A9="","",IF(发布任务!DH9="",-1,发布任务!DH9))</f>
        <v/>
      </c>
      <c r="CJ9" s="1" t="str">
        <f>IF($A9="","",IF(发布任务!DI9="",-1,发布任务!DI9))</f>
        <v/>
      </c>
      <c r="CK9" s="1" t="str">
        <f>IF($A9="","",IF(发布任务!DJ9="",-1,发布任务!DJ9))</f>
        <v/>
      </c>
      <c r="CL9" s="1" t="str">
        <f>IF($A9="","",IF(发布任务!DK9="",-1,发布任务!DK9))</f>
        <v/>
      </c>
      <c r="CM9" s="1" t="str">
        <f>IF($A9="","",IF(发布任务!DL9="",-1,发布任务!DL9))</f>
        <v/>
      </c>
      <c r="CN9" s="1" t="str">
        <f>IF($A9="","",IF(发布任务!DM9="",-1,发布任务!DM9))</f>
        <v/>
      </c>
      <c r="CO9" s="1" t="str">
        <f>IF($A9="","",IF(发布任务!DN9="",-1,发布任务!DN9))</f>
        <v/>
      </c>
      <c r="CP9" s="1" t="str">
        <f>IF($A9="","",IF(发布任务!DO9="",-1,发布任务!DO9))</f>
        <v/>
      </c>
      <c r="CQ9" s="1" t="str">
        <f>IF($A9="","",IF(发布任务!DP9="",-1,发布任务!DP9))</f>
        <v/>
      </c>
      <c r="CR9" s="1" t="str">
        <f>IF($A9="","",IF(发布任务!DQ9="",-1,发布任务!DQ9))</f>
        <v/>
      </c>
      <c r="CS9" s="1" t="str">
        <f>IF($A9="","",IF(发布任务!DR9="",-1,发布任务!DR9))</f>
        <v/>
      </c>
      <c r="CT9" s="1" t="str">
        <f>IF($A9="","",IF(发布任务!DS9="",-1,发布任务!DS9))</f>
        <v/>
      </c>
      <c r="CU9" s="1" t="str">
        <f>IF($A9="","",IF(发布任务!DT9="",-1,发布任务!DT9))</f>
        <v/>
      </c>
      <c r="CV9" s="1" t="str">
        <f>IF($A9="","",IF(发布任务!DU9="",-1,发布任务!DU9))</f>
        <v/>
      </c>
      <c r="CW9" s="1" t="str">
        <f>IF($A9="","",IF(发布任务!DV9="",-1,发布任务!DV9))</f>
        <v/>
      </c>
      <c r="CX9" s="1" t="str">
        <f>IF($A9="","",IF(发布任务!DW9="",-1,发布任务!DW9))</f>
        <v/>
      </c>
      <c r="CY9" s="1" t="str">
        <f>IF($A9="","",IF(发布任务!DX9="",-1,发布任务!DX9))</f>
        <v/>
      </c>
      <c r="CZ9" s="1" t="str">
        <f>IF($A9="","",IF(发布任务!DY9="",-1,发布任务!DY9))</f>
        <v/>
      </c>
      <c r="DA9" s="1" t="str">
        <f>IF($A9="","",IF(发布任务!DZ9="",-1,发布任务!DZ9))</f>
        <v/>
      </c>
      <c r="DB9" s="1" t="str">
        <f>IF($A9="","",IF(发布任务!EA9="",-1,发布任务!EA9))</f>
        <v/>
      </c>
      <c r="DC9" s="1" t="str">
        <f>IF($A9="","",IF(发布任务!EB9="",-1,发布任务!EB9))</f>
        <v/>
      </c>
      <c r="DD9" s="1" t="str">
        <f>IF($A9="","",IF(发布任务!EC9="",-1,发布任务!EC9))</f>
        <v/>
      </c>
      <c r="DE9" s="1" t="str">
        <f>IF($A9="","",IF(发布任务!ED9="",-1,发布任务!ED9))</f>
        <v/>
      </c>
      <c r="DF9" s="1" t="str">
        <f>IF($A9="","",IF(发布任务!EE9="",-1,发布任务!EE9))</f>
        <v/>
      </c>
    </row>
    <row r="10" spans="2:110">
      <c r="B10" s="1" t="str">
        <f>IF($A10="","",VLOOKUP(A10,捏造NPC!$A:$R,5,FALSE))</f>
        <v/>
      </c>
      <c r="C10" s="1" t="str">
        <f>IF($A10="","",VLOOKUP(A10,捏造NPC!$A:$R,18,FALSE))</f>
        <v/>
      </c>
      <c r="D10" s="1" t="str">
        <f t="shared" si="0"/>
        <v/>
      </c>
      <c r="E10" s="1" t="str">
        <f t="shared" si="1"/>
        <v/>
      </c>
      <c r="J10" s="1"/>
      <c r="K10" s="1" t="str">
        <f>IF($A10="","",IF(发布任务!AJ10="",-1,发布任务!AJ10))</f>
        <v/>
      </c>
      <c r="L10" s="1" t="str">
        <f>IF($A10="","",IF(发布任务!AK10="",-1,发布任务!AK10))</f>
        <v/>
      </c>
      <c r="M10" s="1" t="str">
        <f>IF($A10="","",IF(发布任务!AL10="",-1,发布任务!AL10))</f>
        <v/>
      </c>
      <c r="N10" s="1" t="str">
        <f>IF($A10="","",IF(发布任务!AM10="",-1,发布任务!AM10))</f>
        <v/>
      </c>
      <c r="O10" s="1" t="str">
        <f>IF($A10="","",IF(发布任务!AN10="",-1,发布任务!AN10))</f>
        <v/>
      </c>
      <c r="P10" s="1" t="str">
        <f>IF($A10="","",IF(发布任务!AO10="",-1,发布任务!AO10))</f>
        <v/>
      </c>
      <c r="Q10" s="1" t="str">
        <f>IF($A10="","",IF(发布任务!AP10="",-1,发布任务!AP10))</f>
        <v/>
      </c>
      <c r="R10" s="1" t="str">
        <f>IF($A10="","",IF(发布任务!AQ10="",-1,发布任务!AQ10))</f>
        <v/>
      </c>
      <c r="S10" s="1" t="str">
        <f>IF($A10="","",IF(发布任务!AR10="",-1,发布任务!AR10))</f>
        <v/>
      </c>
      <c r="T10" s="1" t="str">
        <f>IF($A10="","",IF(发布任务!AS10="",-1,发布任务!AS10))</f>
        <v/>
      </c>
      <c r="U10" s="1" t="str">
        <f>IF($A10="","",IF(发布任务!AT10="",-1,发布任务!AT10))</f>
        <v/>
      </c>
      <c r="V10" s="1" t="str">
        <f>IF($A10="","",IF(发布任务!AU10="",-1,发布任务!AU10))</f>
        <v/>
      </c>
      <c r="W10" s="1" t="str">
        <f>IF($A10="","",IF(发布任务!AV10="",-1,发布任务!AV10))</f>
        <v/>
      </c>
      <c r="X10" s="1" t="str">
        <f>IF($A10="","",IF(发布任务!AW10="",-1,发布任务!AW10))</f>
        <v/>
      </c>
      <c r="Y10" s="1" t="str">
        <f>IF($A10="","",IF(发布任务!AX10="",-1,发布任务!AX10))</f>
        <v/>
      </c>
      <c r="Z10" s="1" t="str">
        <f>IF($A10="","",IF(发布任务!AY10="",-1,发布任务!AY10))</f>
        <v/>
      </c>
      <c r="AA10" s="1" t="str">
        <f>IF($A10="","",IF(发布任务!AZ10="",-1,发布任务!AZ10))</f>
        <v/>
      </c>
      <c r="AB10" s="1" t="str">
        <f>IF($A10="","",IF(发布任务!BA10="",-1,发布任务!BA10))</f>
        <v/>
      </c>
      <c r="AC10" s="1" t="str">
        <f>IF($A10="","",IF(发布任务!BB10="",-1,发布任务!BB10))</f>
        <v/>
      </c>
      <c r="AD10" s="1" t="str">
        <f>IF($A10="","",IF(发布任务!BC10="",-1,发布任务!BC10))</f>
        <v/>
      </c>
      <c r="AE10" s="1" t="str">
        <f>IF($A10="","",IF(发布任务!BD10="",-1,发布任务!BD10))</f>
        <v/>
      </c>
      <c r="AF10" s="1" t="str">
        <f>IF($A10="","",IF(发布任务!BE10="",-1,发布任务!BE10))</f>
        <v/>
      </c>
      <c r="AG10" s="1" t="str">
        <f>IF($A10="","",IF(发布任务!BF10="",-1,发布任务!BF10))</f>
        <v/>
      </c>
      <c r="AH10" s="1" t="str">
        <f>IF($A10="","",IF(发布任务!BG10="",-1,发布任务!BG10))</f>
        <v/>
      </c>
      <c r="AI10" s="1" t="str">
        <f>IF($A10="","",IF(发布任务!BH10="",-1,发布任务!BH10))</f>
        <v/>
      </c>
      <c r="AJ10" s="1" t="str">
        <f>IF($A10="","",IF(发布任务!BI10="",-1,发布任务!BI10))</f>
        <v/>
      </c>
      <c r="AK10" s="1" t="str">
        <f>IF($A10="","",IF(发布任务!BJ10="",-1,发布任务!BJ10))</f>
        <v/>
      </c>
      <c r="AL10" s="1" t="str">
        <f>IF($A10="","",IF(发布任务!BK10="",-1,发布任务!BK10))</f>
        <v/>
      </c>
      <c r="AM10" s="1" t="str">
        <f>IF($A10="","",IF(发布任务!BL10="",-1,发布任务!BL10))</f>
        <v/>
      </c>
      <c r="AN10" s="1" t="str">
        <f>IF($A10="","",IF(发布任务!BM10="",-1,发布任务!BM10))</f>
        <v/>
      </c>
      <c r="AO10" s="1" t="str">
        <f>IF($A10="","",IF(发布任务!BN10="",-1,发布任务!BN10))</f>
        <v/>
      </c>
      <c r="AP10" s="1" t="str">
        <f>IF($A10="","",IF(发布任务!BO10="",-1,发布任务!BO10))</f>
        <v/>
      </c>
      <c r="AQ10" s="1" t="str">
        <f>IF($A10="","",IF(发布任务!BP10="",-1,发布任务!BP10))</f>
        <v/>
      </c>
      <c r="AR10" s="1" t="str">
        <f>IF($A10="","",IF(发布任务!BQ10="",-1,发布任务!BQ10))</f>
        <v/>
      </c>
      <c r="AS10" s="1" t="str">
        <f>IF($A10="","",IF(发布任务!BR10="",-1,发布任务!BR10))</f>
        <v/>
      </c>
      <c r="AT10" s="1" t="str">
        <f>IF($A10="","",IF(发布任务!BS10="",-1,发布任务!BS10))</f>
        <v/>
      </c>
      <c r="AU10" s="1" t="str">
        <f>IF($A10="","",IF(发布任务!BT10="",-1,发布任务!BT10))</f>
        <v/>
      </c>
      <c r="AV10" s="1" t="str">
        <f>IF($A10="","",IF(发布任务!BU10="",-1,发布任务!BU10))</f>
        <v/>
      </c>
      <c r="AW10" s="1" t="str">
        <f>IF($A10="","",IF(发布任务!BV10="",-1,发布任务!BV10))</f>
        <v/>
      </c>
      <c r="AX10" s="1" t="str">
        <f>IF($A10="","",IF(发布任务!BW10="",-1,发布任务!BW10))</f>
        <v/>
      </c>
      <c r="AY10" s="1" t="str">
        <f>IF($A10="","",IF(发布任务!BX10="",-1,发布任务!BX10))</f>
        <v/>
      </c>
      <c r="AZ10" s="1" t="str">
        <f>IF($A10="","",IF(发布任务!BY10="",-1,发布任务!BY10))</f>
        <v/>
      </c>
      <c r="BA10" s="1" t="str">
        <f>IF($A10="","",IF(发布任务!BZ10="",-1,发布任务!BZ10))</f>
        <v/>
      </c>
      <c r="BB10" s="1" t="str">
        <f>IF($A10="","",IF(发布任务!CA10="",-1,发布任务!CA10))</f>
        <v/>
      </c>
      <c r="BC10" s="1" t="str">
        <f>IF($A10="","",IF(发布任务!CB10="",-1,发布任务!CB10))</f>
        <v/>
      </c>
      <c r="BD10" s="1" t="str">
        <f>IF($A10="","",IF(发布任务!CC10="",-1,发布任务!CC10))</f>
        <v/>
      </c>
      <c r="BE10" s="1" t="str">
        <f>IF($A10="","",IF(发布任务!CD10="",-1,发布任务!CD10))</f>
        <v/>
      </c>
      <c r="BF10" s="1" t="str">
        <f>IF($A10="","",IF(发布任务!CE10="",-1,发布任务!CE10))</f>
        <v/>
      </c>
      <c r="BG10" s="1" t="str">
        <f>IF($A10="","",IF(发布任务!CF10="",-1,发布任务!CF10))</f>
        <v/>
      </c>
      <c r="BH10" s="1" t="str">
        <f>IF($A10="","",IF(发布任务!CG10="",-1,发布任务!CG10))</f>
        <v/>
      </c>
      <c r="BI10" s="1" t="str">
        <f>IF($A10="","",IF(发布任务!CH10="",-1,发布任务!CH10))</f>
        <v/>
      </c>
      <c r="BJ10" s="1" t="str">
        <f>IF($A10="","",IF(发布任务!CI10="",-1,发布任务!CI10))</f>
        <v/>
      </c>
      <c r="BK10" s="1" t="str">
        <f>IF($A10="","",IF(发布任务!CJ10="",-1,发布任务!CJ10))</f>
        <v/>
      </c>
      <c r="BL10" s="1" t="str">
        <f>IF($A10="","",IF(发布任务!CK10="",-1,发布任务!CK10))</f>
        <v/>
      </c>
      <c r="BM10" s="1" t="str">
        <f>IF($A10="","",IF(发布任务!CL10="",-1,发布任务!CL10))</f>
        <v/>
      </c>
      <c r="BN10" s="1" t="str">
        <f>IF($A10="","",IF(发布任务!CM10="",-1,发布任务!CM10))</f>
        <v/>
      </c>
      <c r="BO10" s="1" t="str">
        <f>IF($A10="","",IF(发布任务!CN10="",-1,发布任务!CN10))</f>
        <v/>
      </c>
      <c r="BP10" s="1" t="str">
        <f>IF($A10="","",IF(发布任务!CO10="",-1,发布任务!CO10))</f>
        <v/>
      </c>
      <c r="BQ10" s="1" t="str">
        <f>IF($A10="","",IF(发布任务!CP10="",-1,发布任务!CP10))</f>
        <v/>
      </c>
      <c r="BR10" s="1" t="str">
        <f>IF($A10="","",IF(发布任务!CQ10="",-1,发布任务!CQ10))</f>
        <v/>
      </c>
      <c r="BS10" s="1" t="str">
        <f>IF($A10="","",IF(发布任务!CR10="",-1,发布任务!CR10))</f>
        <v/>
      </c>
      <c r="BT10" s="1" t="str">
        <f>IF($A10="","",IF(发布任务!CS10="",-1,发布任务!CS10))</f>
        <v/>
      </c>
      <c r="BU10" s="1" t="str">
        <f>IF($A10="","",IF(发布任务!CT10="",-1,发布任务!CT10))</f>
        <v/>
      </c>
      <c r="BV10" s="1" t="str">
        <f>IF($A10="","",IF(发布任务!CU10="",-1,发布任务!CU10))</f>
        <v/>
      </c>
      <c r="BW10" s="1" t="str">
        <f>IF($A10="","",IF(发布任务!CV10="",-1,发布任务!CV10))</f>
        <v/>
      </c>
      <c r="BX10" s="1" t="str">
        <f>IF($A10="","",IF(发布任务!CW10="",-1,发布任务!CW10))</f>
        <v/>
      </c>
      <c r="BY10" s="1" t="str">
        <f>IF($A10="","",IF(发布任务!CX10="",-1,发布任务!CX10))</f>
        <v/>
      </c>
      <c r="BZ10" s="1" t="str">
        <f>IF($A10="","",IF(发布任务!CY10="",-1,发布任务!CY10))</f>
        <v/>
      </c>
      <c r="CA10" s="1" t="str">
        <f>IF($A10="","",IF(发布任务!CZ10="",-1,发布任务!CZ10))</f>
        <v/>
      </c>
      <c r="CB10" s="1" t="str">
        <f>IF($A10="","",IF(发布任务!DA10="",-1,发布任务!DA10))</f>
        <v/>
      </c>
      <c r="CC10" s="1" t="str">
        <f>IF($A10="","",IF(发布任务!DB10="",-1,发布任务!DB10))</f>
        <v/>
      </c>
      <c r="CD10" s="1" t="str">
        <f>IF($A10="","",IF(发布任务!DC10="",-1,发布任务!DC10))</f>
        <v/>
      </c>
      <c r="CE10" s="1" t="str">
        <f>IF($A10="","",IF(发布任务!DD10="",-1,发布任务!DD10))</f>
        <v/>
      </c>
      <c r="CF10" s="1" t="str">
        <f>IF($A10="","",IF(发布任务!DE10="",-1,发布任务!DE10))</f>
        <v/>
      </c>
      <c r="CG10" s="1" t="str">
        <f>IF($A10="","",IF(发布任务!DF10="",-1,发布任务!DF10))</f>
        <v/>
      </c>
      <c r="CH10" s="1" t="str">
        <f>IF($A10="","",IF(发布任务!DG10="",-1,发布任务!DG10))</f>
        <v/>
      </c>
      <c r="CI10" s="1" t="str">
        <f>IF($A10="","",IF(发布任务!DH10="",-1,发布任务!DH10))</f>
        <v/>
      </c>
      <c r="CJ10" s="1" t="str">
        <f>IF($A10="","",IF(发布任务!DI10="",-1,发布任务!DI10))</f>
        <v/>
      </c>
      <c r="CK10" s="1" t="str">
        <f>IF($A10="","",IF(发布任务!DJ10="",-1,发布任务!DJ10))</f>
        <v/>
      </c>
      <c r="CL10" s="1" t="str">
        <f>IF($A10="","",IF(发布任务!DK10="",-1,发布任务!DK10))</f>
        <v/>
      </c>
      <c r="CM10" s="1" t="str">
        <f>IF($A10="","",IF(发布任务!DL10="",-1,发布任务!DL10))</f>
        <v/>
      </c>
      <c r="CN10" s="1" t="str">
        <f>IF($A10="","",IF(发布任务!DM10="",-1,发布任务!DM10))</f>
        <v/>
      </c>
      <c r="CO10" s="1" t="str">
        <f>IF($A10="","",IF(发布任务!DN10="",-1,发布任务!DN10))</f>
        <v/>
      </c>
      <c r="CP10" s="1" t="str">
        <f>IF($A10="","",IF(发布任务!DO10="",-1,发布任务!DO10))</f>
        <v/>
      </c>
      <c r="CQ10" s="1" t="str">
        <f>IF($A10="","",IF(发布任务!DP10="",-1,发布任务!DP10))</f>
        <v/>
      </c>
      <c r="CR10" s="1" t="str">
        <f>IF($A10="","",IF(发布任务!DQ10="",-1,发布任务!DQ10))</f>
        <v/>
      </c>
      <c r="CS10" s="1" t="str">
        <f>IF($A10="","",IF(发布任务!DR10="",-1,发布任务!DR10))</f>
        <v/>
      </c>
      <c r="CT10" s="1" t="str">
        <f>IF($A10="","",IF(发布任务!DS10="",-1,发布任务!DS10))</f>
        <v/>
      </c>
      <c r="CU10" s="1" t="str">
        <f>IF($A10="","",IF(发布任务!DT10="",-1,发布任务!DT10))</f>
        <v/>
      </c>
      <c r="CV10" s="1" t="str">
        <f>IF($A10="","",IF(发布任务!DU10="",-1,发布任务!DU10))</f>
        <v/>
      </c>
      <c r="CW10" s="1" t="str">
        <f>IF($A10="","",IF(发布任务!DV10="",-1,发布任务!DV10))</f>
        <v/>
      </c>
      <c r="CX10" s="1" t="str">
        <f>IF($A10="","",IF(发布任务!DW10="",-1,发布任务!DW10))</f>
        <v/>
      </c>
      <c r="CY10" s="1" t="str">
        <f>IF($A10="","",IF(发布任务!DX10="",-1,发布任务!DX10))</f>
        <v/>
      </c>
      <c r="CZ10" s="1" t="str">
        <f>IF($A10="","",IF(发布任务!DY10="",-1,发布任务!DY10))</f>
        <v/>
      </c>
      <c r="DA10" s="1" t="str">
        <f>IF($A10="","",IF(发布任务!DZ10="",-1,发布任务!DZ10))</f>
        <v/>
      </c>
      <c r="DB10" s="1" t="str">
        <f>IF($A10="","",IF(发布任务!EA10="",-1,发布任务!EA10))</f>
        <v/>
      </c>
      <c r="DC10" s="1" t="str">
        <f>IF($A10="","",IF(发布任务!EB10="",-1,发布任务!EB10))</f>
        <v/>
      </c>
      <c r="DD10" s="1" t="str">
        <f>IF($A10="","",IF(发布任务!EC10="",-1,发布任务!EC10))</f>
        <v/>
      </c>
      <c r="DE10" s="1" t="str">
        <f>IF($A10="","",IF(发布任务!ED10="",-1,发布任务!ED10))</f>
        <v/>
      </c>
      <c r="DF10" s="1" t="str">
        <f>IF($A10="","",IF(发布任务!EE10="",-1,发布任务!EE10))</f>
        <v/>
      </c>
    </row>
    <row r="11" spans="2:110">
      <c r="B11" s="1" t="str">
        <f>IF($A11="","",VLOOKUP(A11,捏造NPC!$A:$R,5,FALSE))</f>
        <v/>
      </c>
      <c r="C11" s="1" t="str">
        <f>IF($A11="","",VLOOKUP(A11,捏造NPC!$A:$R,18,FALSE))</f>
        <v/>
      </c>
      <c r="D11" s="1" t="str">
        <f t="shared" si="0"/>
        <v/>
      </c>
      <c r="E11" s="1" t="str">
        <f t="shared" si="1"/>
        <v/>
      </c>
      <c r="J11" s="1"/>
      <c r="K11" s="1" t="str">
        <f>IF($A11="","",IF(发布任务!AJ11="",-1,发布任务!AJ11))</f>
        <v/>
      </c>
      <c r="L11" s="1" t="str">
        <f>IF($A11="","",IF(发布任务!AK11="",-1,发布任务!AK11))</f>
        <v/>
      </c>
      <c r="M11" s="1" t="str">
        <f>IF($A11="","",IF(发布任务!AL11="",-1,发布任务!AL11))</f>
        <v/>
      </c>
      <c r="N11" s="1" t="str">
        <f>IF($A11="","",IF(发布任务!AM11="",-1,发布任务!AM11))</f>
        <v/>
      </c>
      <c r="O11" s="1" t="str">
        <f>IF($A11="","",IF(发布任务!AN11="",-1,发布任务!AN11))</f>
        <v/>
      </c>
      <c r="P11" s="1" t="str">
        <f>IF($A11="","",IF(发布任务!AO11="",-1,发布任务!AO11))</f>
        <v/>
      </c>
      <c r="Q11" s="1" t="str">
        <f>IF($A11="","",IF(发布任务!AP11="",-1,发布任务!AP11))</f>
        <v/>
      </c>
      <c r="R11" s="1" t="str">
        <f>IF($A11="","",IF(发布任务!AQ11="",-1,发布任务!AQ11))</f>
        <v/>
      </c>
      <c r="S11" s="1" t="str">
        <f>IF($A11="","",IF(发布任务!AR11="",-1,发布任务!AR11))</f>
        <v/>
      </c>
      <c r="T11" s="1" t="str">
        <f>IF($A11="","",IF(发布任务!AS11="",-1,发布任务!AS11))</f>
        <v/>
      </c>
      <c r="U11" s="1" t="str">
        <f>IF($A11="","",IF(发布任务!AT11="",-1,发布任务!AT11))</f>
        <v/>
      </c>
      <c r="V11" s="1" t="str">
        <f>IF($A11="","",IF(发布任务!AU11="",-1,发布任务!AU11))</f>
        <v/>
      </c>
      <c r="W11" s="1" t="str">
        <f>IF($A11="","",IF(发布任务!AV11="",-1,发布任务!AV11))</f>
        <v/>
      </c>
      <c r="X11" s="1" t="str">
        <f>IF($A11="","",IF(发布任务!AW11="",-1,发布任务!AW11))</f>
        <v/>
      </c>
      <c r="Y11" s="1" t="str">
        <f>IF($A11="","",IF(发布任务!AX11="",-1,发布任务!AX11))</f>
        <v/>
      </c>
      <c r="Z11" s="1" t="str">
        <f>IF($A11="","",IF(发布任务!AY11="",-1,发布任务!AY11))</f>
        <v/>
      </c>
      <c r="AA11" s="1" t="str">
        <f>IF($A11="","",IF(发布任务!AZ11="",-1,发布任务!AZ11))</f>
        <v/>
      </c>
      <c r="AB11" s="1" t="str">
        <f>IF($A11="","",IF(发布任务!BA11="",-1,发布任务!BA11))</f>
        <v/>
      </c>
      <c r="AC11" s="1" t="str">
        <f>IF($A11="","",IF(发布任务!BB11="",-1,发布任务!BB11))</f>
        <v/>
      </c>
      <c r="AD11" s="1" t="str">
        <f>IF($A11="","",IF(发布任务!BC11="",-1,发布任务!BC11))</f>
        <v/>
      </c>
      <c r="AE11" s="1" t="str">
        <f>IF($A11="","",IF(发布任务!BD11="",-1,发布任务!BD11))</f>
        <v/>
      </c>
      <c r="AF11" s="1" t="str">
        <f>IF($A11="","",IF(发布任务!BE11="",-1,发布任务!BE11))</f>
        <v/>
      </c>
      <c r="AG11" s="1" t="str">
        <f>IF($A11="","",IF(发布任务!BF11="",-1,发布任务!BF11))</f>
        <v/>
      </c>
      <c r="AH11" s="1" t="str">
        <f>IF($A11="","",IF(发布任务!BG11="",-1,发布任务!BG11))</f>
        <v/>
      </c>
      <c r="AI11" s="1" t="str">
        <f>IF($A11="","",IF(发布任务!BH11="",-1,发布任务!BH11))</f>
        <v/>
      </c>
      <c r="AJ11" s="1" t="str">
        <f>IF($A11="","",IF(发布任务!BI11="",-1,发布任务!BI11))</f>
        <v/>
      </c>
      <c r="AK11" s="1" t="str">
        <f>IF($A11="","",IF(发布任务!BJ11="",-1,发布任务!BJ11))</f>
        <v/>
      </c>
      <c r="AL11" s="1" t="str">
        <f>IF($A11="","",IF(发布任务!BK11="",-1,发布任务!BK11))</f>
        <v/>
      </c>
      <c r="AM11" s="1" t="str">
        <f>IF($A11="","",IF(发布任务!BL11="",-1,发布任务!BL11))</f>
        <v/>
      </c>
      <c r="AN11" s="1" t="str">
        <f>IF($A11="","",IF(发布任务!BM11="",-1,发布任务!BM11))</f>
        <v/>
      </c>
      <c r="AO11" s="1" t="str">
        <f>IF($A11="","",IF(发布任务!BN11="",-1,发布任务!BN11))</f>
        <v/>
      </c>
      <c r="AP11" s="1" t="str">
        <f>IF($A11="","",IF(发布任务!BO11="",-1,发布任务!BO11))</f>
        <v/>
      </c>
      <c r="AQ11" s="1" t="str">
        <f>IF($A11="","",IF(发布任务!BP11="",-1,发布任务!BP11))</f>
        <v/>
      </c>
      <c r="AR11" s="1" t="str">
        <f>IF($A11="","",IF(发布任务!BQ11="",-1,发布任务!BQ11))</f>
        <v/>
      </c>
      <c r="AS11" s="1" t="str">
        <f>IF($A11="","",IF(发布任务!BR11="",-1,发布任务!BR11))</f>
        <v/>
      </c>
      <c r="AT11" s="1" t="str">
        <f>IF($A11="","",IF(发布任务!BS11="",-1,发布任务!BS11))</f>
        <v/>
      </c>
      <c r="AU11" s="1" t="str">
        <f>IF($A11="","",IF(发布任务!BT11="",-1,发布任务!BT11))</f>
        <v/>
      </c>
      <c r="AV11" s="1" t="str">
        <f>IF($A11="","",IF(发布任务!BU11="",-1,发布任务!BU11))</f>
        <v/>
      </c>
      <c r="AW11" s="1" t="str">
        <f>IF($A11="","",IF(发布任务!BV11="",-1,发布任务!BV11))</f>
        <v/>
      </c>
      <c r="AX11" s="1" t="str">
        <f>IF($A11="","",IF(发布任务!BW11="",-1,发布任务!BW11))</f>
        <v/>
      </c>
      <c r="AY11" s="1" t="str">
        <f>IF($A11="","",IF(发布任务!BX11="",-1,发布任务!BX11))</f>
        <v/>
      </c>
      <c r="AZ11" s="1" t="str">
        <f>IF($A11="","",IF(发布任务!BY11="",-1,发布任务!BY11))</f>
        <v/>
      </c>
      <c r="BA11" s="1" t="str">
        <f>IF($A11="","",IF(发布任务!BZ11="",-1,发布任务!BZ11))</f>
        <v/>
      </c>
      <c r="BB11" s="1" t="str">
        <f>IF($A11="","",IF(发布任务!CA11="",-1,发布任务!CA11))</f>
        <v/>
      </c>
      <c r="BC11" s="1" t="str">
        <f>IF($A11="","",IF(发布任务!CB11="",-1,发布任务!CB11))</f>
        <v/>
      </c>
      <c r="BD11" s="1" t="str">
        <f>IF($A11="","",IF(发布任务!CC11="",-1,发布任务!CC11))</f>
        <v/>
      </c>
      <c r="BE11" s="1" t="str">
        <f>IF($A11="","",IF(发布任务!CD11="",-1,发布任务!CD11))</f>
        <v/>
      </c>
      <c r="BF11" s="1" t="str">
        <f>IF($A11="","",IF(发布任务!CE11="",-1,发布任务!CE11))</f>
        <v/>
      </c>
      <c r="BG11" s="1" t="str">
        <f>IF($A11="","",IF(发布任务!CF11="",-1,发布任务!CF11))</f>
        <v/>
      </c>
      <c r="BH11" s="1" t="str">
        <f>IF($A11="","",IF(发布任务!CG11="",-1,发布任务!CG11))</f>
        <v/>
      </c>
      <c r="BI11" s="1" t="str">
        <f>IF($A11="","",IF(发布任务!CH11="",-1,发布任务!CH11))</f>
        <v/>
      </c>
      <c r="BJ11" s="1" t="str">
        <f>IF($A11="","",IF(发布任务!CI11="",-1,发布任务!CI11))</f>
        <v/>
      </c>
      <c r="BK11" s="1" t="str">
        <f>IF($A11="","",IF(发布任务!CJ11="",-1,发布任务!CJ11))</f>
        <v/>
      </c>
      <c r="BL11" s="1" t="str">
        <f>IF($A11="","",IF(发布任务!CK11="",-1,发布任务!CK11))</f>
        <v/>
      </c>
      <c r="BM11" s="1" t="str">
        <f>IF($A11="","",IF(发布任务!CL11="",-1,发布任务!CL11))</f>
        <v/>
      </c>
      <c r="BN11" s="1" t="str">
        <f>IF($A11="","",IF(发布任务!CM11="",-1,发布任务!CM11))</f>
        <v/>
      </c>
      <c r="BO11" s="1" t="str">
        <f>IF($A11="","",IF(发布任务!CN11="",-1,发布任务!CN11))</f>
        <v/>
      </c>
      <c r="BP11" s="1" t="str">
        <f>IF($A11="","",IF(发布任务!CO11="",-1,发布任务!CO11))</f>
        <v/>
      </c>
      <c r="BQ11" s="1" t="str">
        <f>IF($A11="","",IF(发布任务!CP11="",-1,发布任务!CP11))</f>
        <v/>
      </c>
      <c r="BR11" s="1" t="str">
        <f>IF($A11="","",IF(发布任务!CQ11="",-1,发布任务!CQ11))</f>
        <v/>
      </c>
      <c r="BS11" s="1" t="str">
        <f>IF($A11="","",IF(发布任务!CR11="",-1,发布任务!CR11))</f>
        <v/>
      </c>
      <c r="BT11" s="1" t="str">
        <f>IF($A11="","",IF(发布任务!CS11="",-1,发布任务!CS11))</f>
        <v/>
      </c>
      <c r="BU11" s="1" t="str">
        <f>IF($A11="","",IF(发布任务!CT11="",-1,发布任务!CT11))</f>
        <v/>
      </c>
      <c r="BV11" s="1" t="str">
        <f>IF($A11="","",IF(发布任务!CU11="",-1,发布任务!CU11))</f>
        <v/>
      </c>
      <c r="BW11" s="1" t="str">
        <f>IF($A11="","",IF(发布任务!CV11="",-1,发布任务!CV11))</f>
        <v/>
      </c>
      <c r="BX11" s="1" t="str">
        <f>IF($A11="","",IF(发布任务!CW11="",-1,发布任务!CW11))</f>
        <v/>
      </c>
      <c r="BY11" s="1" t="str">
        <f>IF($A11="","",IF(发布任务!CX11="",-1,发布任务!CX11))</f>
        <v/>
      </c>
      <c r="BZ11" s="1" t="str">
        <f>IF($A11="","",IF(发布任务!CY11="",-1,发布任务!CY11))</f>
        <v/>
      </c>
      <c r="CA11" s="1" t="str">
        <f>IF($A11="","",IF(发布任务!CZ11="",-1,发布任务!CZ11))</f>
        <v/>
      </c>
      <c r="CB11" s="1" t="str">
        <f>IF($A11="","",IF(发布任务!DA11="",-1,发布任务!DA11))</f>
        <v/>
      </c>
      <c r="CC11" s="1" t="str">
        <f>IF($A11="","",IF(发布任务!DB11="",-1,发布任务!DB11))</f>
        <v/>
      </c>
      <c r="CD11" s="1" t="str">
        <f>IF($A11="","",IF(发布任务!DC11="",-1,发布任务!DC11))</f>
        <v/>
      </c>
      <c r="CE11" s="1" t="str">
        <f>IF($A11="","",IF(发布任务!DD11="",-1,发布任务!DD11))</f>
        <v/>
      </c>
      <c r="CF11" s="1" t="str">
        <f>IF($A11="","",IF(发布任务!DE11="",-1,发布任务!DE11))</f>
        <v/>
      </c>
      <c r="CG11" s="1" t="str">
        <f>IF($A11="","",IF(发布任务!DF11="",-1,发布任务!DF11))</f>
        <v/>
      </c>
      <c r="CH11" s="1" t="str">
        <f>IF($A11="","",IF(发布任务!DG11="",-1,发布任务!DG11))</f>
        <v/>
      </c>
      <c r="CI11" s="1" t="str">
        <f>IF($A11="","",IF(发布任务!DH11="",-1,发布任务!DH11))</f>
        <v/>
      </c>
      <c r="CJ11" s="1" t="str">
        <f>IF($A11="","",IF(发布任务!DI11="",-1,发布任务!DI11))</f>
        <v/>
      </c>
      <c r="CK11" s="1" t="str">
        <f>IF($A11="","",IF(发布任务!DJ11="",-1,发布任务!DJ11))</f>
        <v/>
      </c>
      <c r="CL11" s="1" t="str">
        <f>IF($A11="","",IF(发布任务!DK11="",-1,发布任务!DK11))</f>
        <v/>
      </c>
      <c r="CM11" s="1" t="str">
        <f>IF($A11="","",IF(发布任务!DL11="",-1,发布任务!DL11))</f>
        <v/>
      </c>
      <c r="CN11" s="1" t="str">
        <f>IF($A11="","",IF(发布任务!DM11="",-1,发布任务!DM11))</f>
        <v/>
      </c>
      <c r="CO11" s="1" t="str">
        <f>IF($A11="","",IF(发布任务!DN11="",-1,发布任务!DN11))</f>
        <v/>
      </c>
      <c r="CP11" s="1" t="str">
        <f>IF($A11="","",IF(发布任务!DO11="",-1,发布任务!DO11))</f>
        <v/>
      </c>
      <c r="CQ11" s="1" t="str">
        <f>IF($A11="","",IF(发布任务!DP11="",-1,发布任务!DP11))</f>
        <v/>
      </c>
      <c r="CR11" s="1" t="str">
        <f>IF($A11="","",IF(发布任务!DQ11="",-1,发布任务!DQ11))</f>
        <v/>
      </c>
      <c r="CS11" s="1" t="str">
        <f>IF($A11="","",IF(发布任务!DR11="",-1,发布任务!DR11))</f>
        <v/>
      </c>
      <c r="CT11" s="1" t="str">
        <f>IF($A11="","",IF(发布任务!DS11="",-1,发布任务!DS11))</f>
        <v/>
      </c>
      <c r="CU11" s="1" t="str">
        <f>IF($A11="","",IF(发布任务!DT11="",-1,发布任务!DT11))</f>
        <v/>
      </c>
      <c r="CV11" s="1" t="str">
        <f>IF($A11="","",IF(发布任务!DU11="",-1,发布任务!DU11))</f>
        <v/>
      </c>
      <c r="CW11" s="1" t="str">
        <f>IF($A11="","",IF(发布任务!DV11="",-1,发布任务!DV11))</f>
        <v/>
      </c>
      <c r="CX11" s="1" t="str">
        <f>IF($A11="","",IF(发布任务!DW11="",-1,发布任务!DW11))</f>
        <v/>
      </c>
      <c r="CY11" s="1" t="str">
        <f>IF($A11="","",IF(发布任务!DX11="",-1,发布任务!DX11))</f>
        <v/>
      </c>
      <c r="CZ11" s="1" t="str">
        <f>IF($A11="","",IF(发布任务!DY11="",-1,发布任务!DY11))</f>
        <v/>
      </c>
      <c r="DA11" s="1" t="str">
        <f>IF($A11="","",IF(发布任务!DZ11="",-1,发布任务!DZ11))</f>
        <v/>
      </c>
      <c r="DB11" s="1" t="str">
        <f>IF($A11="","",IF(发布任务!EA11="",-1,发布任务!EA11))</f>
        <v/>
      </c>
      <c r="DC11" s="1" t="str">
        <f>IF($A11="","",IF(发布任务!EB11="",-1,发布任务!EB11))</f>
        <v/>
      </c>
      <c r="DD11" s="1" t="str">
        <f>IF($A11="","",IF(发布任务!EC11="",-1,发布任务!EC11))</f>
        <v/>
      </c>
      <c r="DE11" s="1" t="str">
        <f>IF($A11="","",IF(发布任务!ED11="",-1,发布任务!ED11))</f>
        <v/>
      </c>
      <c r="DF11" s="1" t="str">
        <f>IF($A11="","",IF(发布任务!EE11="",-1,发布任务!EE11))</f>
        <v/>
      </c>
    </row>
    <row r="12" spans="2:110">
      <c r="B12" s="1" t="str">
        <f>IF($A12="","",VLOOKUP(A12,捏造NPC!$A:$R,5,FALSE))</f>
        <v/>
      </c>
      <c r="C12" s="1" t="str">
        <f>IF($A12="","",VLOOKUP(A12,捏造NPC!$A:$R,18,FALSE))</f>
        <v/>
      </c>
      <c r="D12" s="1" t="str">
        <f t="shared" si="0"/>
        <v/>
      </c>
      <c r="E12" s="1" t="str">
        <f t="shared" si="1"/>
        <v/>
      </c>
      <c r="J12" s="1"/>
      <c r="K12" s="1" t="str">
        <f>IF($A12="","",IF(发布任务!AJ12="",-1,发布任务!AJ12))</f>
        <v/>
      </c>
      <c r="L12" s="1" t="str">
        <f>IF($A12="","",IF(发布任务!AK12="",-1,发布任务!AK12))</f>
        <v/>
      </c>
      <c r="M12" s="1" t="str">
        <f>IF($A12="","",IF(发布任务!AL12="",-1,发布任务!AL12))</f>
        <v/>
      </c>
      <c r="N12" s="1" t="str">
        <f>IF($A12="","",IF(发布任务!AM12="",-1,发布任务!AM12))</f>
        <v/>
      </c>
      <c r="O12" s="1" t="str">
        <f>IF($A12="","",IF(发布任务!AN12="",-1,发布任务!AN12))</f>
        <v/>
      </c>
      <c r="P12" s="1" t="str">
        <f>IF($A12="","",IF(发布任务!AO12="",-1,发布任务!AO12))</f>
        <v/>
      </c>
      <c r="Q12" s="1" t="str">
        <f>IF($A12="","",IF(发布任务!AP12="",-1,发布任务!AP12))</f>
        <v/>
      </c>
      <c r="R12" s="1" t="str">
        <f>IF($A12="","",IF(发布任务!AQ12="",-1,发布任务!AQ12))</f>
        <v/>
      </c>
      <c r="S12" s="1" t="str">
        <f>IF($A12="","",IF(发布任务!AR12="",-1,发布任务!AR12))</f>
        <v/>
      </c>
      <c r="T12" s="1" t="str">
        <f>IF($A12="","",IF(发布任务!AS12="",-1,发布任务!AS12))</f>
        <v/>
      </c>
      <c r="U12" s="1" t="str">
        <f>IF($A12="","",IF(发布任务!AT12="",-1,发布任务!AT12))</f>
        <v/>
      </c>
      <c r="V12" s="1" t="str">
        <f>IF($A12="","",IF(发布任务!AU12="",-1,发布任务!AU12))</f>
        <v/>
      </c>
      <c r="W12" s="1" t="str">
        <f>IF($A12="","",IF(发布任务!AV12="",-1,发布任务!AV12))</f>
        <v/>
      </c>
      <c r="X12" s="1" t="str">
        <f>IF($A12="","",IF(发布任务!AW12="",-1,发布任务!AW12))</f>
        <v/>
      </c>
      <c r="Y12" s="1" t="str">
        <f>IF($A12="","",IF(发布任务!AX12="",-1,发布任务!AX12))</f>
        <v/>
      </c>
      <c r="Z12" s="1" t="str">
        <f>IF($A12="","",IF(发布任务!AY12="",-1,发布任务!AY12))</f>
        <v/>
      </c>
      <c r="AA12" s="1" t="str">
        <f>IF($A12="","",IF(发布任务!AZ12="",-1,发布任务!AZ12))</f>
        <v/>
      </c>
      <c r="AB12" s="1" t="str">
        <f>IF($A12="","",IF(发布任务!BA12="",-1,发布任务!BA12))</f>
        <v/>
      </c>
      <c r="AC12" s="1" t="str">
        <f>IF($A12="","",IF(发布任务!BB12="",-1,发布任务!BB12))</f>
        <v/>
      </c>
      <c r="AD12" s="1" t="str">
        <f>IF($A12="","",IF(发布任务!BC12="",-1,发布任务!BC12))</f>
        <v/>
      </c>
      <c r="AE12" s="1" t="str">
        <f>IF($A12="","",IF(发布任务!BD12="",-1,发布任务!BD12))</f>
        <v/>
      </c>
      <c r="AF12" s="1" t="str">
        <f>IF($A12="","",IF(发布任务!BE12="",-1,发布任务!BE12))</f>
        <v/>
      </c>
      <c r="AG12" s="1" t="str">
        <f>IF($A12="","",IF(发布任务!BF12="",-1,发布任务!BF12))</f>
        <v/>
      </c>
      <c r="AH12" s="1" t="str">
        <f>IF($A12="","",IF(发布任务!BG12="",-1,发布任务!BG12))</f>
        <v/>
      </c>
      <c r="AI12" s="1" t="str">
        <f>IF($A12="","",IF(发布任务!BH12="",-1,发布任务!BH12))</f>
        <v/>
      </c>
      <c r="AJ12" s="1" t="str">
        <f>IF($A12="","",IF(发布任务!BI12="",-1,发布任务!BI12))</f>
        <v/>
      </c>
      <c r="AK12" s="1" t="str">
        <f>IF($A12="","",IF(发布任务!BJ12="",-1,发布任务!BJ12))</f>
        <v/>
      </c>
      <c r="AL12" s="1" t="str">
        <f>IF($A12="","",IF(发布任务!BK12="",-1,发布任务!BK12))</f>
        <v/>
      </c>
      <c r="AM12" s="1" t="str">
        <f>IF($A12="","",IF(发布任务!BL12="",-1,发布任务!BL12))</f>
        <v/>
      </c>
      <c r="AN12" s="1" t="str">
        <f>IF($A12="","",IF(发布任务!BM12="",-1,发布任务!BM12))</f>
        <v/>
      </c>
      <c r="AO12" s="1" t="str">
        <f>IF($A12="","",IF(发布任务!BN12="",-1,发布任务!BN12))</f>
        <v/>
      </c>
      <c r="AP12" s="1" t="str">
        <f>IF($A12="","",IF(发布任务!BO12="",-1,发布任务!BO12))</f>
        <v/>
      </c>
      <c r="AQ12" s="1" t="str">
        <f>IF($A12="","",IF(发布任务!BP12="",-1,发布任务!BP12))</f>
        <v/>
      </c>
      <c r="AR12" s="1" t="str">
        <f>IF($A12="","",IF(发布任务!BQ12="",-1,发布任务!BQ12))</f>
        <v/>
      </c>
      <c r="AS12" s="1" t="str">
        <f>IF($A12="","",IF(发布任务!BR12="",-1,发布任务!BR12))</f>
        <v/>
      </c>
      <c r="AT12" s="1" t="str">
        <f>IF($A12="","",IF(发布任务!BS12="",-1,发布任务!BS12))</f>
        <v/>
      </c>
      <c r="AU12" s="1" t="str">
        <f>IF($A12="","",IF(发布任务!BT12="",-1,发布任务!BT12))</f>
        <v/>
      </c>
      <c r="AV12" s="1" t="str">
        <f>IF($A12="","",IF(发布任务!BU12="",-1,发布任务!BU12))</f>
        <v/>
      </c>
      <c r="AW12" s="1" t="str">
        <f>IF($A12="","",IF(发布任务!BV12="",-1,发布任务!BV12))</f>
        <v/>
      </c>
      <c r="AX12" s="1" t="str">
        <f>IF($A12="","",IF(发布任务!BW12="",-1,发布任务!BW12))</f>
        <v/>
      </c>
      <c r="AY12" s="1" t="str">
        <f>IF($A12="","",IF(发布任务!BX12="",-1,发布任务!BX12))</f>
        <v/>
      </c>
      <c r="AZ12" s="1" t="str">
        <f>IF($A12="","",IF(发布任务!BY12="",-1,发布任务!BY12))</f>
        <v/>
      </c>
      <c r="BA12" s="1" t="str">
        <f>IF($A12="","",IF(发布任务!BZ12="",-1,发布任务!BZ12))</f>
        <v/>
      </c>
      <c r="BB12" s="1" t="str">
        <f>IF($A12="","",IF(发布任务!CA12="",-1,发布任务!CA12))</f>
        <v/>
      </c>
      <c r="BC12" s="1" t="str">
        <f>IF($A12="","",IF(发布任务!CB12="",-1,发布任务!CB12))</f>
        <v/>
      </c>
      <c r="BD12" s="1" t="str">
        <f>IF($A12="","",IF(发布任务!CC12="",-1,发布任务!CC12))</f>
        <v/>
      </c>
      <c r="BE12" s="1" t="str">
        <f>IF($A12="","",IF(发布任务!CD12="",-1,发布任务!CD12))</f>
        <v/>
      </c>
      <c r="BF12" s="1" t="str">
        <f>IF($A12="","",IF(发布任务!CE12="",-1,发布任务!CE12))</f>
        <v/>
      </c>
      <c r="BG12" s="1" t="str">
        <f>IF($A12="","",IF(发布任务!CF12="",-1,发布任务!CF12))</f>
        <v/>
      </c>
      <c r="BH12" s="1" t="str">
        <f>IF($A12="","",IF(发布任务!CG12="",-1,发布任务!CG12))</f>
        <v/>
      </c>
      <c r="BI12" s="1" t="str">
        <f>IF($A12="","",IF(发布任务!CH12="",-1,发布任务!CH12))</f>
        <v/>
      </c>
      <c r="BJ12" s="1" t="str">
        <f>IF($A12="","",IF(发布任务!CI12="",-1,发布任务!CI12))</f>
        <v/>
      </c>
      <c r="BK12" s="1" t="str">
        <f>IF($A12="","",IF(发布任务!CJ12="",-1,发布任务!CJ12))</f>
        <v/>
      </c>
      <c r="BL12" s="1" t="str">
        <f>IF($A12="","",IF(发布任务!CK12="",-1,发布任务!CK12))</f>
        <v/>
      </c>
      <c r="BM12" s="1" t="str">
        <f>IF($A12="","",IF(发布任务!CL12="",-1,发布任务!CL12))</f>
        <v/>
      </c>
      <c r="BN12" s="1" t="str">
        <f>IF($A12="","",IF(发布任务!CM12="",-1,发布任务!CM12))</f>
        <v/>
      </c>
      <c r="BO12" s="1" t="str">
        <f>IF($A12="","",IF(发布任务!CN12="",-1,发布任务!CN12))</f>
        <v/>
      </c>
      <c r="BP12" s="1" t="str">
        <f>IF($A12="","",IF(发布任务!CO12="",-1,发布任务!CO12))</f>
        <v/>
      </c>
      <c r="BQ12" s="1" t="str">
        <f>IF($A12="","",IF(发布任务!CP12="",-1,发布任务!CP12))</f>
        <v/>
      </c>
      <c r="BR12" s="1" t="str">
        <f>IF($A12="","",IF(发布任务!CQ12="",-1,发布任务!CQ12))</f>
        <v/>
      </c>
      <c r="BS12" s="1" t="str">
        <f>IF($A12="","",IF(发布任务!CR12="",-1,发布任务!CR12))</f>
        <v/>
      </c>
      <c r="BT12" s="1" t="str">
        <f>IF($A12="","",IF(发布任务!CS12="",-1,发布任务!CS12))</f>
        <v/>
      </c>
      <c r="BU12" s="1" t="str">
        <f>IF($A12="","",IF(发布任务!CT12="",-1,发布任务!CT12))</f>
        <v/>
      </c>
      <c r="BV12" s="1" t="str">
        <f>IF($A12="","",IF(发布任务!CU12="",-1,发布任务!CU12))</f>
        <v/>
      </c>
      <c r="BW12" s="1" t="str">
        <f>IF($A12="","",IF(发布任务!CV12="",-1,发布任务!CV12))</f>
        <v/>
      </c>
      <c r="BX12" s="1" t="str">
        <f>IF($A12="","",IF(发布任务!CW12="",-1,发布任务!CW12))</f>
        <v/>
      </c>
      <c r="BY12" s="1" t="str">
        <f>IF($A12="","",IF(发布任务!CX12="",-1,发布任务!CX12))</f>
        <v/>
      </c>
      <c r="BZ12" s="1" t="str">
        <f>IF($A12="","",IF(发布任务!CY12="",-1,发布任务!CY12))</f>
        <v/>
      </c>
      <c r="CA12" s="1" t="str">
        <f>IF($A12="","",IF(发布任务!CZ12="",-1,发布任务!CZ12))</f>
        <v/>
      </c>
      <c r="CB12" s="1" t="str">
        <f>IF($A12="","",IF(发布任务!DA12="",-1,发布任务!DA12))</f>
        <v/>
      </c>
      <c r="CC12" s="1" t="str">
        <f>IF($A12="","",IF(发布任务!DB12="",-1,发布任务!DB12))</f>
        <v/>
      </c>
      <c r="CD12" s="1" t="str">
        <f>IF($A12="","",IF(发布任务!DC12="",-1,发布任务!DC12))</f>
        <v/>
      </c>
      <c r="CE12" s="1" t="str">
        <f>IF($A12="","",IF(发布任务!DD12="",-1,发布任务!DD12))</f>
        <v/>
      </c>
      <c r="CF12" s="1" t="str">
        <f>IF($A12="","",IF(发布任务!DE12="",-1,发布任务!DE12))</f>
        <v/>
      </c>
      <c r="CG12" s="1" t="str">
        <f>IF($A12="","",IF(发布任务!DF12="",-1,发布任务!DF12))</f>
        <v/>
      </c>
      <c r="CH12" s="1" t="str">
        <f>IF($A12="","",IF(发布任务!DG12="",-1,发布任务!DG12))</f>
        <v/>
      </c>
      <c r="CI12" s="1" t="str">
        <f>IF($A12="","",IF(发布任务!DH12="",-1,发布任务!DH12))</f>
        <v/>
      </c>
      <c r="CJ12" s="1" t="str">
        <f>IF($A12="","",IF(发布任务!DI12="",-1,发布任务!DI12))</f>
        <v/>
      </c>
      <c r="CK12" s="1" t="str">
        <f>IF($A12="","",IF(发布任务!DJ12="",-1,发布任务!DJ12))</f>
        <v/>
      </c>
      <c r="CL12" s="1" t="str">
        <f>IF($A12="","",IF(发布任务!DK12="",-1,发布任务!DK12))</f>
        <v/>
      </c>
      <c r="CM12" s="1" t="str">
        <f>IF($A12="","",IF(发布任务!DL12="",-1,发布任务!DL12))</f>
        <v/>
      </c>
      <c r="CN12" s="1" t="str">
        <f>IF($A12="","",IF(发布任务!DM12="",-1,发布任务!DM12))</f>
        <v/>
      </c>
      <c r="CO12" s="1" t="str">
        <f>IF($A12="","",IF(发布任务!DN12="",-1,发布任务!DN12))</f>
        <v/>
      </c>
      <c r="CP12" s="1" t="str">
        <f>IF($A12="","",IF(发布任务!DO12="",-1,发布任务!DO12))</f>
        <v/>
      </c>
      <c r="CQ12" s="1" t="str">
        <f>IF($A12="","",IF(发布任务!DP12="",-1,发布任务!DP12))</f>
        <v/>
      </c>
      <c r="CR12" s="1" t="str">
        <f>IF($A12="","",IF(发布任务!DQ12="",-1,发布任务!DQ12))</f>
        <v/>
      </c>
      <c r="CS12" s="1" t="str">
        <f>IF($A12="","",IF(发布任务!DR12="",-1,发布任务!DR12))</f>
        <v/>
      </c>
      <c r="CT12" s="1" t="str">
        <f>IF($A12="","",IF(发布任务!DS12="",-1,发布任务!DS12))</f>
        <v/>
      </c>
      <c r="CU12" s="1" t="str">
        <f>IF($A12="","",IF(发布任务!DT12="",-1,发布任务!DT12))</f>
        <v/>
      </c>
      <c r="CV12" s="1" t="str">
        <f>IF($A12="","",IF(发布任务!DU12="",-1,发布任务!DU12))</f>
        <v/>
      </c>
      <c r="CW12" s="1" t="str">
        <f>IF($A12="","",IF(发布任务!DV12="",-1,发布任务!DV12))</f>
        <v/>
      </c>
      <c r="CX12" s="1" t="str">
        <f>IF($A12="","",IF(发布任务!DW12="",-1,发布任务!DW12))</f>
        <v/>
      </c>
      <c r="CY12" s="1" t="str">
        <f>IF($A12="","",IF(发布任务!DX12="",-1,发布任务!DX12))</f>
        <v/>
      </c>
      <c r="CZ12" s="1" t="str">
        <f>IF($A12="","",IF(发布任务!DY12="",-1,发布任务!DY12))</f>
        <v/>
      </c>
      <c r="DA12" s="1" t="str">
        <f>IF($A12="","",IF(发布任务!DZ12="",-1,发布任务!DZ12))</f>
        <v/>
      </c>
      <c r="DB12" s="1" t="str">
        <f>IF($A12="","",IF(发布任务!EA12="",-1,发布任务!EA12))</f>
        <v/>
      </c>
      <c r="DC12" s="1" t="str">
        <f>IF($A12="","",IF(发布任务!EB12="",-1,发布任务!EB12))</f>
        <v/>
      </c>
      <c r="DD12" s="1" t="str">
        <f>IF($A12="","",IF(发布任务!EC12="",-1,发布任务!EC12))</f>
        <v/>
      </c>
      <c r="DE12" s="1" t="str">
        <f>IF($A12="","",IF(发布任务!ED12="",-1,发布任务!ED12))</f>
        <v/>
      </c>
      <c r="DF12" s="1" t="str">
        <f>IF($A12="","",IF(发布任务!EE12="",-1,发布任务!EE12))</f>
        <v/>
      </c>
    </row>
    <row r="13" spans="2:110">
      <c r="B13" s="1" t="str">
        <f>IF($A13="","",VLOOKUP(A13,捏造NPC!$A:$R,5,FALSE))</f>
        <v/>
      </c>
      <c r="C13" s="1" t="str">
        <f>IF($A13="","",VLOOKUP(A13,捏造NPC!$A:$R,18,FALSE))</f>
        <v/>
      </c>
      <c r="D13" s="1" t="str">
        <f t="shared" si="0"/>
        <v/>
      </c>
      <c r="E13" s="1" t="str">
        <f t="shared" si="1"/>
        <v/>
      </c>
      <c r="J13" s="1"/>
      <c r="K13" s="1" t="str">
        <f>IF($A13="","",IF(发布任务!AJ13="",-1,发布任务!AJ13))</f>
        <v/>
      </c>
      <c r="L13" s="1" t="str">
        <f>IF($A13="","",IF(发布任务!AK13="",-1,发布任务!AK13))</f>
        <v/>
      </c>
      <c r="M13" s="1" t="str">
        <f>IF($A13="","",IF(发布任务!AL13="",-1,发布任务!AL13))</f>
        <v/>
      </c>
      <c r="N13" s="1" t="str">
        <f>IF($A13="","",IF(发布任务!AM13="",-1,发布任务!AM13))</f>
        <v/>
      </c>
      <c r="O13" s="1" t="str">
        <f>IF($A13="","",IF(发布任务!AN13="",-1,发布任务!AN13))</f>
        <v/>
      </c>
      <c r="P13" s="1" t="str">
        <f>IF($A13="","",IF(发布任务!AO13="",-1,发布任务!AO13))</f>
        <v/>
      </c>
      <c r="Q13" s="1" t="str">
        <f>IF($A13="","",IF(发布任务!AP13="",-1,发布任务!AP13))</f>
        <v/>
      </c>
      <c r="R13" s="1" t="str">
        <f>IF($A13="","",IF(发布任务!AQ13="",-1,发布任务!AQ13))</f>
        <v/>
      </c>
      <c r="S13" s="1" t="str">
        <f>IF($A13="","",IF(发布任务!AR13="",-1,发布任务!AR13))</f>
        <v/>
      </c>
      <c r="T13" s="1" t="str">
        <f>IF($A13="","",IF(发布任务!AS13="",-1,发布任务!AS13))</f>
        <v/>
      </c>
      <c r="U13" s="1" t="str">
        <f>IF($A13="","",IF(发布任务!AT13="",-1,发布任务!AT13))</f>
        <v/>
      </c>
      <c r="V13" s="1" t="str">
        <f>IF($A13="","",IF(发布任务!AU13="",-1,发布任务!AU13))</f>
        <v/>
      </c>
      <c r="W13" s="1" t="str">
        <f>IF($A13="","",IF(发布任务!AV13="",-1,发布任务!AV13))</f>
        <v/>
      </c>
      <c r="X13" s="1" t="str">
        <f>IF($A13="","",IF(发布任务!AW13="",-1,发布任务!AW13))</f>
        <v/>
      </c>
      <c r="Y13" s="1" t="str">
        <f>IF($A13="","",IF(发布任务!AX13="",-1,发布任务!AX13))</f>
        <v/>
      </c>
      <c r="Z13" s="1" t="str">
        <f>IF($A13="","",IF(发布任务!AY13="",-1,发布任务!AY13))</f>
        <v/>
      </c>
      <c r="AA13" s="1" t="str">
        <f>IF($A13="","",IF(发布任务!AZ13="",-1,发布任务!AZ13))</f>
        <v/>
      </c>
      <c r="AB13" s="1" t="str">
        <f>IF($A13="","",IF(发布任务!BA13="",-1,发布任务!BA13))</f>
        <v/>
      </c>
      <c r="AC13" s="1" t="str">
        <f>IF($A13="","",IF(发布任务!BB13="",-1,发布任务!BB13))</f>
        <v/>
      </c>
      <c r="AD13" s="1" t="str">
        <f>IF($A13="","",IF(发布任务!BC13="",-1,发布任务!BC13))</f>
        <v/>
      </c>
      <c r="AE13" s="1" t="str">
        <f>IF($A13="","",IF(发布任务!BD13="",-1,发布任务!BD13))</f>
        <v/>
      </c>
      <c r="AF13" s="1" t="str">
        <f>IF($A13="","",IF(发布任务!BE13="",-1,发布任务!BE13))</f>
        <v/>
      </c>
      <c r="AG13" s="1" t="str">
        <f>IF($A13="","",IF(发布任务!BF13="",-1,发布任务!BF13))</f>
        <v/>
      </c>
      <c r="AH13" s="1" t="str">
        <f>IF($A13="","",IF(发布任务!BG13="",-1,发布任务!BG13))</f>
        <v/>
      </c>
      <c r="AI13" s="1" t="str">
        <f>IF($A13="","",IF(发布任务!BH13="",-1,发布任务!BH13))</f>
        <v/>
      </c>
      <c r="AJ13" s="1" t="str">
        <f>IF($A13="","",IF(发布任务!BI13="",-1,发布任务!BI13))</f>
        <v/>
      </c>
      <c r="AK13" s="1" t="str">
        <f>IF($A13="","",IF(发布任务!BJ13="",-1,发布任务!BJ13))</f>
        <v/>
      </c>
      <c r="AL13" s="1" t="str">
        <f>IF($A13="","",IF(发布任务!BK13="",-1,发布任务!BK13))</f>
        <v/>
      </c>
      <c r="AM13" s="1" t="str">
        <f>IF($A13="","",IF(发布任务!BL13="",-1,发布任务!BL13))</f>
        <v/>
      </c>
      <c r="AN13" s="1" t="str">
        <f>IF($A13="","",IF(发布任务!BM13="",-1,发布任务!BM13))</f>
        <v/>
      </c>
      <c r="AO13" s="1" t="str">
        <f>IF($A13="","",IF(发布任务!BN13="",-1,发布任务!BN13))</f>
        <v/>
      </c>
      <c r="AP13" s="1" t="str">
        <f>IF($A13="","",IF(发布任务!BO13="",-1,发布任务!BO13))</f>
        <v/>
      </c>
      <c r="AQ13" s="1" t="str">
        <f>IF($A13="","",IF(发布任务!BP13="",-1,发布任务!BP13))</f>
        <v/>
      </c>
      <c r="AR13" s="1" t="str">
        <f>IF($A13="","",IF(发布任务!BQ13="",-1,发布任务!BQ13))</f>
        <v/>
      </c>
      <c r="AS13" s="1" t="str">
        <f>IF($A13="","",IF(发布任务!BR13="",-1,发布任务!BR13))</f>
        <v/>
      </c>
      <c r="AT13" s="1" t="str">
        <f>IF($A13="","",IF(发布任务!BS13="",-1,发布任务!BS13))</f>
        <v/>
      </c>
      <c r="AU13" s="1" t="str">
        <f>IF($A13="","",IF(发布任务!BT13="",-1,发布任务!BT13))</f>
        <v/>
      </c>
      <c r="AV13" s="1" t="str">
        <f>IF($A13="","",IF(发布任务!BU13="",-1,发布任务!BU13))</f>
        <v/>
      </c>
      <c r="AW13" s="1" t="str">
        <f>IF($A13="","",IF(发布任务!BV13="",-1,发布任务!BV13))</f>
        <v/>
      </c>
      <c r="AX13" s="1" t="str">
        <f>IF($A13="","",IF(发布任务!BW13="",-1,发布任务!BW13))</f>
        <v/>
      </c>
      <c r="AY13" s="1" t="str">
        <f>IF($A13="","",IF(发布任务!BX13="",-1,发布任务!BX13))</f>
        <v/>
      </c>
      <c r="AZ13" s="1" t="str">
        <f>IF($A13="","",IF(发布任务!BY13="",-1,发布任务!BY13))</f>
        <v/>
      </c>
      <c r="BA13" s="1" t="str">
        <f>IF($A13="","",IF(发布任务!BZ13="",-1,发布任务!BZ13))</f>
        <v/>
      </c>
      <c r="BB13" s="1" t="str">
        <f>IF($A13="","",IF(发布任务!CA13="",-1,发布任务!CA13))</f>
        <v/>
      </c>
      <c r="BC13" s="1" t="str">
        <f>IF($A13="","",IF(发布任务!CB13="",-1,发布任务!CB13))</f>
        <v/>
      </c>
      <c r="BD13" s="1" t="str">
        <f>IF($A13="","",IF(发布任务!CC13="",-1,发布任务!CC13))</f>
        <v/>
      </c>
      <c r="BE13" s="1" t="str">
        <f>IF($A13="","",IF(发布任务!CD13="",-1,发布任务!CD13))</f>
        <v/>
      </c>
      <c r="BF13" s="1" t="str">
        <f>IF($A13="","",IF(发布任务!CE13="",-1,发布任务!CE13))</f>
        <v/>
      </c>
      <c r="BG13" s="1" t="str">
        <f>IF($A13="","",IF(发布任务!CF13="",-1,发布任务!CF13))</f>
        <v/>
      </c>
      <c r="BH13" s="1" t="str">
        <f>IF($A13="","",IF(发布任务!CG13="",-1,发布任务!CG13))</f>
        <v/>
      </c>
      <c r="BI13" s="1" t="str">
        <f>IF($A13="","",IF(发布任务!CH13="",-1,发布任务!CH13))</f>
        <v/>
      </c>
      <c r="BJ13" s="1" t="str">
        <f>IF($A13="","",IF(发布任务!CI13="",-1,发布任务!CI13))</f>
        <v/>
      </c>
      <c r="BK13" s="1" t="str">
        <f>IF($A13="","",IF(发布任务!CJ13="",-1,发布任务!CJ13))</f>
        <v/>
      </c>
      <c r="BL13" s="1" t="str">
        <f>IF($A13="","",IF(发布任务!CK13="",-1,发布任务!CK13))</f>
        <v/>
      </c>
      <c r="BM13" s="1" t="str">
        <f>IF($A13="","",IF(发布任务!CL13="",-1,发布任务!CL13))</f>
        <v/>
      </c>
      <c r="BN13" s="1" t="str">
        <f>IF($A13="","",IF(发布任务!CM13="",-1,发布任务!CM13))</f>
        <v/>
      </c>
      <c r="BO13" s="1" t="str">
        <f>IF($A13="","",IF(发布任务!CN13="",-1,发布任务!CN13))</f>
        <v/>
      </c>
      <c r="BP13" s="1" t="str">
        <f>IF($A13="","",IF(发布任务!CO13="",-1,发布任务!CO13))</f>
        <v/>
      </c>
      <c r="BQ13" s="1" t="str">
        <f>IF($A13="","",IF(发布任务!CP13="",-1,发布任务!CP13))</f>
        <v/>
      </c>
      <c r="BR13" s="1" t="str">
        <f>IF($A13="","",IF(发布任务!CQ13="",-1,发布任务!CQ13))</f>
        <v/>
      </c>
      <c r="BS13" s="1" t="str">
        <f>IF($A13="","",IF(发布任务!CR13="",-1,发布任务!CR13))</f>
        <v/>
      </c>
      <c r="BT13" s="1" t="str">
        <f>IF($A13="","",IF(发布任务!CS13="",-1,发布任务!CS13))</f>
        <v/>
      </c>
      <c r="BU13" s="1" t="str">
        <f>IF($A13="","",IF(发布任务!CT13="",-1,发布任务!CT13))</f>
        <v/>
      </c>
      <c r="BV13" s="1" t="str">
        <f>IF($A13="","",IF(发布任务!CU13="",-1,发布任务!CU13))</f>
        <v/>
      </c>
      <c r="BW13" s="1" t="str">
        <f>IF($A13="","",IF(发布任务!CV13="",-1,发布任务!CV13))</f>
        <v/>
      </c>
      <c r="BX13" s="1" t="str">
        <f>IF($A13="","",IF(发布任务!CW13="",-1,发布任务!CW13))</f>
        <v/>
      </c>
      <c r="BY13" s="1" t="str">
        <f>IF($A13="","",IF(发布任务!CX13="",-1,发布任务!CX13))</f>
        <v/>
      </c>
      <c r="BZ13" s="1" t="str">
        <f>IF($A13="","",IF(发布任务!CY13="",-1,发布任务!CY13))</f>
        <v/>
      </c>
      <c r="CA13" s="1" t="str">
        <f>IF($A13="","",IF(发布任务!CZ13="",-1,发布任务!CZ13))</f>
        <v/>
      </c>
      <c r="CB13" s="1" t="str">
        <f>IF($A13="","",IF(发布任务!DA13="",-1,发布任务!DA13))</f>
        <v/>
      </c>
      <c r="CC13" s="1" t="str">
        <f>IF($A13="","",IF(发布任务!DB13="",-1,发布任务!DB13))</f>
        <v/>
      </c>
      <c r="CD13" s="1" t="str">
        <f>IF($A13="","",IF(发布任务!DC13="",-1,发布任务!DC13))</f>
        <v/>
      </c>
      <c r="CE13" s="1" t="str">
        <f>IF($A13="","",IF(发布任务!DD13="",-1,发布任务!DD13))</f>
        <v/>
      </c>
      <c r="CF13" s="1" t="str">
        <f>IF($A13="","",IF(发布任务!DE13="",-1,发布任务!DE13))</f>
        <v/>
      </c>
      <c r="CG13" s="1" t="str">
        <f>IF($A13="","",IF(发布任务!DF13="",-1,发布任务!DF13))</f>
        <v/>
      </c>
      <c r="CH13" s="1" t="str">
        <f>IF($A13="","",IF(发布任务!DG13="",-1,发布任务!DG13))</f>
        <v/>
      </c>
      <c r="CI13" s="1" t="str">
        <f>IF($A13="","",IF(发布任务!DH13="",-1,发布任务!DH13))</f>
        <v/>
      </c>
      <c r="CJ13" s="1" t="str">
        <f>IF($A13="","",IF(发布任务!DI13="",-1,发布任务!DI13))</f>
        <v/>
      </c>
      <c r="CK13" s="1" t="str">
        <f>IF($A13="","",IF(发布任务!DJ13="",-1,发布任务!DJ13))</f>
        <v/>
      </c>
      <c r="CL13" s="1" t="str">
        <f>IF($A13="","",IF(发布任务!DK13="",-1,发布任务!DK13))</f>
        <v/>
      </c>
      <c r="CM13" s="1" t="str">
        <f>IF($A13="","",IF(发布任务!DL13="",-1,发布任务!DL13))</f>
        <v/>
      </c>
      <c r="CN13" s="1" t="str">
        <f>IF($A13="","",IF(发布任务!DM13="",-1,发布任务!DM13))</f>
        <v/>
      </c>
      <c r="CO13" s="1" t="str">
        <f>IF($A13="","",IF(发布任务!DN13="",-1,发布任务!DN13))</f>
        <v/>
      </c>
      <c r="CP13" s="1" t="str">
        <f>IF($A13="","",IF(发布任务!DO13="",-1,发布任务!DO13))</f>
        <v/>
      </c>
      <c r="CQ13" s="1" t="str">
        <f>IF($A13="","",IF(发布任务!DP13="",-1,发布任务!DP13))</f>
        <v/>
      </c>
      <c r="CR13" s="1" t="str">
        <f>IF($A13="","",IF(发布任务!DQ13="",-1,发布任务!DQ13))</f>
        <v/>
      </c>
      <c r="CS13" s="1" t="str">
        <f>IF($A13="","",IF(发布任务!DR13="",-1,发布任务!DR13))</f>
        <v/>
      </c>
      <c r="CT13" s="1" t="str">
        <f>IF($A13="","",IF(发布任务!DS13="",-1,发布任务!DS13))</f>
        <v/>
      </c>
      <c r="CU13" s="1" t="str">
        <f>IF($A13="","",IF(发布任务!DT13="",-1,发布任务!DT13))</f>
        <v/>
      </c>
      <c r="CV13" s="1" t="str">
        <f>IF($A13="","",IF(发布任务!DU13="",-1,发布任务!DU13))</f>
        <v/>
      </c>
      <c r="CW13" s="1" t="str">
        <f>IF($A13="","",IF(发布任务!DV13="",-1,发布任务!DV13))</f>
        <v/>
      </c>
      <c r="CX13" s="1" t="str">
        <f>IF($A13="","",IF(发布任务!DW13="",-1,发布任务!DW13))</f>
        <v/>
      </c>
      <c r="CY13" s="1" t="str">
        <f>IF($A13="","",IF(发布任务!DX13="",-1,发布任务!DX13))</f>
        <v/>
      </c>
      <c r="CZ13" s="1" t="str">
        <f>IF($A13="","",IF(发布任务!DY13="",-1,发布任务!DY13))</f>
        <v/>
      </c>
      <c r="DA13" s="1" t="str">
        <f>IF($A13="","",IF(发布任务!DZ13="",-1,发布任务!DZ13))</f>
        <v/>
      </c>
      <c r="DB13" s="1" t="str">
        <f>IF($A13="","",IF(发布任务!EA13="",-1,发布任务!EA13))</f>
        <v/>
      </c>
      <c r="DC13" s="1" t="str">
        <f>IF($A13="","",IF(发布任务!EB13="",-1,发布任务!EB13))</f>
        <v/>
      </c>
      <c r="DD13" s="1" t="str">
        <f>IF($A13="","",IF(发布任务!EC13="",-1,发布任务!EC13))</f>
        <v/>
      </c>
      <c r="DE13" s="1" t="str">
        <f>IF($A13="","",IF(发布任务!ED13="",-1,发布任务!ED13))</f>
        <v/>
      </c>
      <c r="DF13" s="1" t="str">
        <f>IF($A13="","",IF(发布任务!EE13="",-1,发布任务!EE13))</f>
        <v/>
      </c>
    </row>
    <row r="14" spans="2:110">
      <c r="B14" s="1" t="str">
        <f>IF($A14="","",VLOOKUP(A14,捏造NPC!$A:$R,5,FALSE))</f>
        <v/>
      </c>
      <c r="C14" s="1" t="str">
        <f>IF($A14="","",VLOOKUP(A14,捏造NPC!$A:$R,18,FALSE))</f>
        <v/>
      </c>
      <c r="D14" s="1" t="str">
        <f t="shared" si="0"/>
        <v/>
      </c>
      <c r="E14" s="1" t="str">
        <f t="shared" si="1"/>
        <v/>
      </c>
      <c r="J14" s="1"/>
      <c r="K14" s="1" t="str">
        <f>IF($A14="","",IF(发布任务!AJ14="",-1,发布任务!AJ14))</f>
        <v/>
      </c>
      <c r="L14" s="1" t="str">
        <f>IF($A14="","",IF(发布任务!AK14="",-1,发布任务!AK14))</f>
        <v/>
      </c>
      <c r="M14" s="1" t="str">
        <f>IF($A14="","",IF(发布任务!AL14="",-1,发布任务!AL14))</f>
        <v/>
      </c>
      <c r="N14" s="1" t="str">
        <f>IF($A14="","",IF(发布任务!AM14="",-1,发布任务!AM14))</f>
        <v/>
      </c>
      <c r="O14" s="1" t="str">
        <f>IF($A14="","",IF(发布任务!AN14="",-1,发布任务!AN14))</f>
        <v/>
      </c>
      <c r="P14" s="1" t="str">
        <f>IF($A14="","",IF(发布任务!AO14="",-1,发布任务!AO14))</f>
        <v/>
      </c>
      <c r="Q14" s="1" t="str">
        <f>IF($A14="","",IF(发布任务!AP14="",-1,发布任务!AP14))</f>
        <v/>
      </c>
      <c r="R14" s="1" t="str">
        <f>IF($A14="","",IF(发布任务!AQ14="",-1,发布任务!AQ14))</f>
        <v/>
      </c>
      <c r="S14" s="1" t="str">
        <f>IF($A14="","",IF(发布任务!AR14="",-1,发布任务!AR14))</f>
        <v/>
      </c>
      <c r="T14" s="1" t="str">
        <f>IF($A14="","",IF(发布任务!AS14="",-1,发布任务!AS14))</f>
        <v/>
      </c>
      <c r="U14" s="1" t="str">
        <f>IF($A14="","",IF(发布任务!AT14="",-1,发布任务!AT14))</f>
        <v/>
      </c>
      <c r="V14" s="1" t="str">
        <f>IF($A14="","",IF(发布任务!AU14="",-1,发布任务!AU14))</f>
        <v/>
      </c>
      <c r="W14" s="1" t="str">
        <f>IF($A14="","",IF(发布任务!AV14="",-1,发布任务!AV14))</f>
        <v/>
      </c>
      <c r="X14" s="1" t="str">
        <f>IF($A14="","",IF(发布任务!AW14="",-1,发布任务!AW14))</f>
        <v/>
      </c>
      <c r="Y14" s="1" t="str">
        <f>IF($A14="","",IF(发布任务!AX14="",-1,发布任务!AX14))</f>
        <v/>
      </c>
      <c r="Z14" s="1" t="str">
        <f>IF($A14="","",IF(发布任务!AY14="",-1,发布任务!AY14))</f>
        <v/>
      </c>
      <c r="AA14" s="1" t="str">
        <f>IF($A14="","",IF(发布任务!AZ14="",-1,发布任务!AZ14))</f>
        <v/>
      </c>
      <c r="AB14" s="1" t="str">
        <f>IF($A14="","",IF(发布任务!BA14="",-1,发布任务!BA14))</f>
        <v/>
      </c>
      <c r="AC14" s="1" t="str">
        <f>IF($A14="","",IF(发布任务!BB14="",-1,发布任务!BB14))</f>
        <v/>
      </c>
      <c r="AD14" s="1" t="str">
        <f>IF($A14="","",IF(发布任务!BC14="",-1,发布任务!BC14))</f>
        <v/>
      </c>
      <c r="AE14" s="1" t="str">
        <f>IF($A14="","",IF(发布任务!BD14="",-1,发布任务!BD14))</f>
        <v/>
      </c>
      <c r="AF14" s="1" t="str">
        <f>IF($A14="","",IF(发布任务!BE14="",-1,发布任务!BE14))</f>
        <v/>
      </c>
      <c r="AG14" s="1" t="str">
        <f>IF($A14="","",IF(发布任务!BF14="",-1,发布任务!BF14))</f>
        <v/>
      </c>
      <c r="AH14" s="1" t="str">
        <f>IF($A14="","",IF(发布任务!BG14="",-1,发布任务!BG14))</f>
        <v/>
      </c>
      <c r="AI14" s="1" t="str">
        <f>IF($A14="","",IF(发布任务!BH14="",-1,发布任务!BH14))</f>
        <v/>
      </c>
      <c r="AJ14" s="1" t="str">
        <f>IF($A14="","",IF(发布任务!BI14="",-1,发布任务!BI14))</f>
        <v/>
      </c>
      <c r="AK14" s="1" t="str">
        <f>IF($A14="","",IF(发布任务!BJ14="",-1,发布任务!BJ14))</f>
        <v/>
      </c>
      <c r="AL14" s="1" t="str">
        <f>IF($A14="","",IF(发布任务!BK14="",-1,发布任务!BK14))</f>
        <v/>
      </c>
      <c r="AM14" s="1" t="str">
        <f>IF($A14="","",IF(发布任务!BL14="",-1,发布任务!BL14))</f>
        <v/>
      </c>
      <c r="AN14" s="1" t="str">
        <f>IF($A14="","",IF(发布任务!BM14="",-1,发布任务!BM14))</f>
        <v/>
      </c>
      <c r="AO14" s="1" t="str">
        <f>IF($A14="","",IF(发布任务!BN14="",-1,发布任务!BN14))</f>
        <v/>
      </c>
      <c r="AP14" s="1" t="str">
        <f>IF($A14="","",IF(发布任务!BO14="",-1,发布任务!BO14))</f>
        <v/>
      </c>
      <c r="AQ14" s="1" t="str">
        <f>IF($A14="","",IF(发布任务!BP14="",-1,发布任务!BP14))</f>
        <v/>
      </c>
      <c r="AR14" s="1" t="str">
        <f>IF($A14="","",IF(发布任务!BQ14="",-1,发布任务!BQ14))</f>
        <v/>
      </c>
      <c r="AS14" s="1" t="str">
        <f>IF($A14="","",IF(发布任务!BR14="",-1,发布任务!BR14))</f>
        <v/>
      </c>
      <c r="AT14" s="1" t="str">
        <f>IF($A14="","",IF(发布任务!BS14="",-1,发布任务!BS14))</f>
        <v/>
      </c>
      <c r="AU14" s="1" t="str">
        <f>IF($A14="","",IF(发布任务!BT14="",-1,发布任务!BT14))</f>
        <v/>
      </c>
      <c r="AV14" s="1" t="str">
        <f>IF($A14="","",IF(发布任务!BU14="",-1,发布任务!BU14))</f>
        <v/>
      </c>
      <c r="AW14" s="1" t="str">
        <f>IF($A14="","",IF(发布任务!BV14="",-1,发布任务!BV14))</f>
        <v/>
      </c>
      <c r="AX14" s="1" t="str">
        <f>IF($A14="","",IF(发布任务!BW14="",-1,发布任务!BW14))</f>
        <v/>
      </c>
      <c r="AY14" s="1" t="str">
        <f>IF($A14="","",IF(发布任务!BX14="",-1,发布任务!BX14))</f>
        <v/>
      </c>
      <c r="AZ14" s="1" t="str">
        <f>IF($A14="","",IF(发布任务!BY14="",-1,发布任务!BY14))</f>
        <v/>
      </c>
      <c r="BA14" s="1" t="str">
        <f>IF($A14="","",IF(发布任务!BZ14="",-1,发布任务!BZ14))</f>
        <v/>
      </c>
      <c r="BB14" s="1" t="str">
        <f>IF($A14="","",IF(发布任务!CA14="",-1,发布任务!CA14))</f>
        <v/>
      </c>
      <c r="BC14" s="1" t="str">
        <f>IF($A14="","",IF(发布任务!CB14="",-1,发布任务!CB14))</f>
        <v/>
      </c>
      <c r="BD14" s="1" t="str">
        <f>IF($A14="","",IF(发布任务!CC14="",-1,发布任务!CC14))</f>
        <v/>
      </c>
      <c r="BE14" s="1" t="str">
        <f>IF($A14="","",IF(发布任务!CD14="",-1,发布任务!CD14))</f>
        <v/>
      </c>
      <c r="BF14" s="1" t="str">
        <f>IF($A14="","",IF(发布任务!CE14="",-1,发布任务!CE14))</f>
        <v/>
      </c>
      <c r="BG14" s="1" t="str">
        <f>IF($A14="","",IF(发布任务!CF14="",-1,发布任务!CF14))</f>
        <v/>
      </c>
      <c r="BH14" s="1" t="str">
        <f>IF($A14="","",IF(发布任务!CG14="",-1,发布任务!CG14))</f>
        <v/>
      </c>
      <c r="BI14" s="1" t="str">
        <f>IF($A14="","",IF(发布任务!CH14="",-1,发布任务!CH14))</f>
        <v/>
      </c>
      <c r="BJ14" s="1" t="str">
        <f>IF($A14="","",IF(发布任务!CI14="",-1,发布任务!CI14))</f>
        <v/>
      </c>
      <c r="BK14" s="1" t="str">
        <f>IF($A14="","",IF(发布任务!CJ14="",-1,发布任务!CJ14))</f>
        <v/>
      </c>
      <c r="BL14" s="1" t="str">
        <f>IF($A14="","",IF(发布任务!CK14="",-1,发布任务!CK14))</f>
        <v/>
      </c>
      <c r="BM14" s="1" t="str">
        <f>IF($A14="","",IF(发布任务!CL14="",-1,发布任务!CL14))</f>
        <v/>
      </c>
      <c r="BN14" s="1" t="str">
        <f>IF($A14="","",IF(发布任务!CM14="",-1,发布任务!CM14))</f>
        <v/>
      </c>
      <c r="BO14" s="1" t="str">
        <f>IF($A14="","",IF(发布任务!CN14="",-1,发布任务!CN14))</f>
        <v/>
      </c>
      <c r="BP14" s="1" t="str">
        <f>IF($A14="","",IF(发布任务!CO14="",-1,发布任务!CO14))</f>
        <v/>
      </c>
      <c r="BQ14" s="1" t="str">
        <f>IF($A14="","",IF(发布任务!CP14="",-1,发布任务!CP14))</f>
        <v/>
      </c>
      <c r="BR14" s="1" t="str">
        <f>IF($A14="","",IF(发布任务!CQ14="",-1,发布任务!CQ14))</f>
        <v/>
      </c>
      <c r="BS14" s="1" t="str">
        <f>IF($A14="","",IF(发布任务!CR14="",-1,发布任务!CR14))</f>
        <v/>
      </c>
      <c r="BT14" s="1" t="str">
        <f>IF($A14="","",IF(发布任务!CS14="",-1,发布任务!CS14))</f>
        <v/>
      </c>
      <c r="BU14" s="1" t="str">
        <f>IF($A14="","",IF(发布任务!CT14="",-1,发布任务!CT14))</f>
        <v/>
      </c>
      <c r="BV14" s="1" t="str">
        <f>IF($A14="","",IF(发布任务!CU14="",-1,发布任务!CU14))</f>
        <v/>
      </c>
      <c r="BW14" s="1" t="str">
        <f>IF($A14="","",IF(发布任务!CV14="",-1,发布任务!CV14))</f>
        <v/>
      </c>
      <c r="BX14" s="1" t="str">
        <f>IF($A14="","",IF(发布任务!CW14="",-1,发布任务!CW14))</f>
        <v/>
      </c>
      <c r="BY14" s="1" t="str">
        <f>IF($A14="","",IF(发布任务!CX14="",-1,发布任务!CX14))</f>
        <v/>
      </c>
      <c r="BZ14" s="1" t="str">
        <f>IF($A14="","",IF(发布任务!CY14="",-1,发布任务!CY14))</f>
        <v/>
      </c>
      <c r="CA14" s="1" t="str">
        <f>IF($A14="","",IF(发布任务!CZ14="",-1,发布任务!CZ14))</f>
        <v/>
      </c>
      <c r="CB14" s="1" t="str">
        <f>IF($A14="","",IF(发布任务!DA14="",-1,发布任务!DA14))</f>
        <v/>
      </c>
      <c r="CC14" s="1" t="str">
        <f>IF($A14="","",IF(发布任务!DB14="",-1,发布任务!DB14))</f>
        <v/>
      </c>
      <c r="CD14" s="1" t="str">
        <f>IF($A14="","",IF(发布任务!DC14="",-1,发布任务!DC14))</f>
        <v/>
      </c>
      <c r="CE14" s="1" t="str">
        <f>IF($A14="","",IF(发布任务!DD14="",-1,发布任务!DD14))</f>
        <v/>
      </c>
      <c r="CF14" s="1" t="str">
        <f>IF($A14="","",IF(发布任务!DE14="",-1,发布任务!DE14))</f>
        <v/>
      </c>
      <c r="CG14" s="1" t="str">
        <f>IF($A14="","",IF(发布任务!DF14="",-1,发布任务!DF14))</f>
        <v/>
      </c>
      <c r="CH14" s="1" t="str">
        <f>IF($A14="","",IF(发布任务!DG14="",-1,发布任务!DG14))</f>
        <v/>
      </c>
      <c r="CI14" s="1" t="str">
        <f>IF($A14="","",IF(发布任务!DH14="",-1,发布任务!DH14))</f>
        <v/>
      </c>
      <c r="CJ14" s="1" t="str">
        <f>IF($A14="","",IF(发布任务!DI14="",-1,发布任务!DI14))</f>
        <v/>
      </c>
      <c r="CK14" s="1" t="str">
        <f>IF($A14="","",IF(发布任务!DJ14="",-1,发布任务!DJ14))</f>
        <v/>
      </c>
      <c r="CL14" s="1" t="str">
        <f>IF($A14="","",IF(发布任务!DK14="",-1,发布任务!DK14))</f>
        <v/>
      </c>
      <c r="CM14" s="1" t="str">
        <f>IF($A14="","",IF(发布任务!DL14="",-1,发布任务!DL14))</f>
        <v/>
      </c>
      <c r="CN14" s="1" t="str">
        <f>IF($A14="","",IF(发布任务!DM14="",-1,发布任务!DM14))</f>
        <v/>
      </c>
      <c r="CO14" s="1" t="str">
        <f>IF($A14="","",IF(发布任务!DN14="",-1,发布任务!DN14))</f>
        <v/>
      </c>
      <c r="CP14" s="1" t="str">
        <f>IF($A14="","",IF(发布任务!DO14="",-1,发布任务!DO14))</f>
        <v/>
      </c>
      <c r="CQ14" s="1" t="str">
        <f>IF($A14="","",IF(发布任务!DP14="",-1,发布任务!DP14))</f>
        <v/>
      </c>
      <c r="CR14" s="1" t="str">
        <f>IF($A14="","",IF(发布任务!DQ14="",-1,发布任务!DQ14))</f>
        <v/>
      </c>
      <c r="CS14" s="1" t="str">
        <f>IF($A14="","",IF(发布任务!DR14="",-1,发布任务!DR14))</f>
        <v/>
      </c>
      <c r="CT14" s="1" t="str">
        <f>IF($A14="","",IF(发布任务!DS14="",-1,发布任务!DS14))</f>
        <v/>
      </c>
      <c r="CU14" s="1" t="str">
        <f>IF($A14="","",IF(发布任务!DT14="",-1,发布任务!DT14))</f>
        <v/>
      </c>
      <c r="CV14" s="1" t="str">
        <f>IF($A14="","",IF(发布任务!DU14="",-1,发布任务!DU14))</f>
        <v/>
      </c>
      <c r="CW14" s="1" t="str">
        <f>IF($A14="","",IF(发布任务!DV14="",-1,发布任务!DV14))</f>
        <v/>
      </c>
      <c r="CX14" s="1" t="str">
        <f>IF($A14="","",IF(发布任务!DW14="",-1,发布任务!DW14))</f>
        <v/>
      </c>
      <c r="CY14" s="1" t="str">
        <f>IF($A14="","",IF(发布任务!DX14="",-1,发布任务!DX14))</f>
        <v/>
      </c>
      <c r="CZ14" s="1" t="str">
        <f>IF($A14="","",IF(发布任务!DY14="",-1,发布任务!DY14))</f>
        <v/>
      </c>
      <c r="DA14" s="1" t="str">
        <f>IF($A14="","",IF(发布任务!DZ14="",-1,发布任务!DZ14))</f>
        <v/>
      </c>
      <c r="DB14" s="1" t="str">
        <f>IF($A14="","",IF(发布任务!EA14="",-1,发布任务!EA14))</f>
        <v/>
      </c>
      <c r="DC14" s="1" t="str">
        <f>IF($A14="","",IF(发布任务!EB14="",-1,发布任务!EB14))</f>
        <v/>
      </c>
      <c r="DD14" s="1" t="str">
        <f>IF($A14="","",IF(发布任务!EC14="",-1,发布任务!EC14))</f>
        <v/>
      </c>
      <c r="DE14" s="1" t="str">
        <f>IF($A14="","",IF(发布任务!ED14="",-1,发布任务!ED14))</f>
        <v/>
      </c>
      <c r="DF14" s="1" t="str">
        <f>IF($A14="","",IF(发布任务!EE14="",-1,发布任务!EE14))</f>
        <v/>
      </c>
    </row>
    <row r="15" spans="2:110">
      <c r="B15" s="1" t="str">
        <f>IF($A15="","",VLOOKUP(A15,捏造NPC!$A:$R,5,FALSE))</f>
        <v/>
      </c>
      <c r="C15" s="1" t="str">
        <f>IF($A15="","",VLOOKUP(A15,捏造NPC!$A:$R,18,FALSE))</f>
        <v/>
      </c>
      <c r="D15" s="1" t="str">
        <f t="shared" si="0"/>
        <v/>
      </c>
      <c r="E15" s="1" t="str">
        <f t="shared" si="1"/>
        <v/>
      </c>
      <c r="J15" s="1"/>
      <c r="K15" s="1" t="str">
        <f>IF($A15="","",IF(发布任务!AJ15="",-1,发布任务!AJ15))</f>
        <v/>
      </c>
      <c r="L15" s="1" t="str">
        <f>IF($A15="","",IF(发布任务!AK15="",-1,发布任务!AK15))</f>
        <v/>
      </c>
      <c r="M15" s="1" t="str">
        <f>IF($A15="","",IF(发布任务!AL15="",-1,发布任务!AL15))</f>
        <v/>
      </c>
      <c r="N15" s="1" t="str">
        <f>IF($A15="","",IF(发布任务!AM15="",-1,发布任务!AM15))</f>
        <v/>
      </c>
      <c r="O15" s="1" t="str">
        <f>IF($A15="","",IF(发布任务!AN15="",-1,发布任务!AN15))</f>
        <v/>
      </c>
      <c r="P15" s="1" t="str">
        <f>IF($A15="","",IF(发布任务!AO15="",-1,发布任务!AO15))</f>
        <v/>
      </c>
      <c r="Q15" s="1" t="str">
        <f>IF($A15="","",IF(发布任务!AP15="",-1,发布任务!AP15))</f>
        <v/>
      </c>
      <c r="R15" s="1" t="str">
        <f>IF($A15="","",IF(发布任务!AQ15="",-1,发布任务!AQ15))</f>
        <v/>
      </c>
      <c r="S15" s="1" t="str">
        <f>IF($A15="","",IF(发布任务!AR15="",-1,发布任务!AR15))</f>
        <v/>
      </c>
      <c r="T15" s="1" t="str">
        <f>IF($A15="","",IF(发布任务!AS15="",-1,发布任务!AS15))</f>
        <v/>
      </c>
      <c r="U15" s="1" t="str">
        <f>IF($A15="","",IF(发布任务!AT15="",-1,发布任务!AT15))</f>
        <v/>
      </c>
      <c r="V15" s="1" t="str">
        <f>IF($A15="","",IF(发布任务!AU15="",-1,发布任务!AU15))</f>
        <v/>
      </c>
      <c r="W15" s="1" t="str">
        <f>IF($A15="","",IF(发布任务!AV15="",-1,发布任务!AV15))</f>
        <v/>
      </c>
      <c r="X15" s="1" t="str">
        <f>IF($A15="","",IF(发布任务!AW15="",-1,发布任务!AW15))</f>
        <v/>
      </c>
      <c r="Y15" s="1" t="str">
        <f>IF($A15="","",IF(发布任务!AX15="",-1,发布任务!AX15))</f>
        <v/>
      </c>
      <c r="Z15" s="1" t="str">
        <f>IF($A15="","",IF(发布任务!AY15="",-1,发布任务!AY15))</f>
        <v/>
      </c>
      <c r="AA15" s="1" t="str">
        <f>IF($A15="","",IF(发布任务!AZ15="",-1,发布任务!AZ15))</f>
        <v/>
      </c>
      <c r="AB15" s="1" t="str">
        <f>IF($A15="","",IF(发布任务!BA15="",-1,发布任务!BA15))</f>
        <v/>
      </c>
      <c r="AC15" s="1" t="str">
        <f>IF($A15="","",IF(发布任务!BB15="",-1,发布任务!BB15))</f>
        <v/>
      </c>
      <c r="AD15" s="1" t="str">
        <f>IF($A15="","",IF(发布任务!BC15="",-1,发布任务!BC15))</f>
        <v/>
      </c>
      <c r="AE15" s="1" t="str">
        <f>IF($A15="","",IF(发布任务!BD15="",-1,发布任务!BD15))</f>
        <v/>
      </c>
      <c r="AF15" s="1" t="str">
        <f>IF($A15="","",IF(发布任务!BE15="",-1,发布任务!BE15))</f>
        <v/>
      </c>
      <c r="AG15" s="1" t="str">
        <f>IF($A15="","",IF(发布任务!BF15="",-1,发布任务!BF15))</f>
        <v/>
      </c>
      <c r="AH15" s="1" t="str">
        <f>IF($A15="","",IF(发布任务!BG15="",-1,发布任务!BG15))</f>
        <v/>
      </c>
      <c r="AI15" s="1" t="str">
        <f>IF($A15="","",IF(发布任务!BH15="",-1,发布任务!BH15))</f>
        <v/>
      </c>
      <c r="AJ15" s="1" t="str">
        <f>IF($A15="","",IF(发布任务!BI15="",-1,发布任务!BI15))</f>
        <v/>
      </c>
      <c r="AK15" s="1" t="str">
        <f>IF($A15="","",IF(发布任务!BJ15="",-1,发布任务!BJ15))</f>
        <v/>
      </c>
      <c r="AL15" s="1" t="str">
        <f>IF($A15="","",IF(发布任务!BK15="",-1,发布任务!BK15))</f>
        <v/>
      </c>
      <c r="AM15" s="1" t="str">
        <f>IF($A15="","",IF(发布任务!BL15="",-1,发布任务!BL15))</f>
        <v/>
      </c>
      <c r="AN15" s="1" t="str">
        <f>IF($A15="","",IF(发布任务!BM15="",-1,发布任务!BM15))</f>
        <v/>
      </c>
      <c r="AO15" s="1" t="str">
        <f>IF($A15="","",IF(发布任务!BN15="",-1,发布任务!BN15))</f>
        <v/>
      </c>
      <c r="AP15" s="1" t="str">
        <f>IF($A15="","",IF(发布任务!BO15="",-1,发布任务!BO15))</f>
        <v/>
      </c>
      <c r="AQ15" s="1" t="str">
        <f>IF($A15="","",IF(发布任务!BP15="",-1,发布任务!BP15))</f>
        <v/>
      </c>
      <c r="AR15" s="1" t="str">
        <f>IF($A15="","",IF(发布任务!BQ15="",-1,发布任务!BQ15))</f>
        <v/>
      </c>
      <c r="AS15" s="1" t="str">
        <f>IF($A15="","",IF(发布任务!BR15="",-1,发布任务!BR15))</f>
        <v/>
      </c>
      <c r="AT15" s="1" t="str">
        <f>IF($A15="","",IF(发布任务!BS15="",-1,发布任务!BS15))</f>
        <v/>
      </c>
      <c r="AU15" s="1" t="str">
        <f>IF($A15="","",IF(发布任务!BT15="",-1,发布任务!BT15))</f>
        <v/>
      </c>
      <c r="AV15" s="1" t="str">
        <f>IF($A15="","",IF(发布任务!BU15="",-1,发布任务!BU15))</f>
        <v/>
      </c>
      <c r="AW15" s="1" t="str">
        <f>IF($A15="","",IF(发布任务!BV15="",-1,发布任务!BV15))</f>
        <v/>
      </c>
      <c r="AX15" s="1" t="str">
        <f>IF($A15="","",IF(发布任务!BW15="",-1,发布任务!BW15))</f>
        <v/>
      </c>
      <c r="AY15" s="1" t="str">
        <f>IF($A15="","",IF(发布任务!BX15="",-1,发布任务!BX15))</f>
        <v/>
      </c>
      <c r="AZ15" s="1" t="str">
        <f>IF($A15="","",IF(发布任务!BY15="",-1,发布任务!BY15))</f>
        <v/>
      </c>
      <c r="BA15" s="1" t="str">
        <f>IF($A15="","",IF(发布任务!BZ15="",-1,发布任务!BZ15))</f>
        <v/>
      </c>
      <c r="BB15" s="1" t="str">
        <f>IF($A15="","",IF(发布任务!CA15="",-1,发布任务!CA15))</f>
        <v/>
      </c>
      <c r="BC15" s="1" t="str">
        <f>IF($A15="","",IF(发布任务!CB15="",-1,发布任务!CB15))</f>
        <v/>
      </c>
      <c r="BD15" s="1" t="str">
        <f>IF($A15="","",IF(发布任务!CC15="",-1,发布任务!CC15))</f>
        <v/>
      </c>
      <c r="BE15" s="1" t="str">
        <f>IF($A15="","",IF(发布任务!CD15="",-1,发布任务!CD15))</f>
        <v/>
      </c>
      <c r="BF15" s="1" t="str">
        <f>IF($A15="","",IF(发布任务!CE15="",-1,发布任务!CE15))</f>
        <v/>
      </c>
      <c r="BG15" s="1" t="str">
        <f>IF($A15="","",IF(发布任务!CF15="",-1,发布任务!CF15))</f>
        <v/>
      </c>
      <c r="BH15" s="1" t="str">
        <f>IF($A15="","",IF(发布任务!CG15="",-1,发布任务!CG15))</f>
        <v/>
      </c>
      <c r="BI15" s="1" t="str">
        <f>IF($A15="","",IF(发布任务!CH15="",-1,发布任务!CH15))</f>
        <v/>
      </c>
      <c r="BJ15" s="1" t="str">
        <f>IF($A15="","",IF(发布任务!CI15="",-1,发布任务!CI15))</f>
        <v/>
      </c>
      <c r="BK15" s="1" t="str">
        <f>IF($A15="","",IF(发布任务!CJ15="",-1,发布任务!CJ15))</f>
        <v/>
      </c>
      <c r="BL15" s="1" t="str">
        <f>IF($A15="","",IF(发布任务!CK15="",-1,发布任务!CK15))</f>
        <v/>
      </c>
      <c r="BM15" s="1" t="str">
        <f>IF($A15="","",IF(发布任务!CL15="",-1,发布任务!CL15))</f>
        <v/>
      </c>
      <c r="BN15" s="1" t="str">
        <f>IF($A15="","",IF(发布任务!CM15="",-1,发布任务!CM15))</f>
        <v/>
      </c>
      <c r="BO15" s="1" t="str">
        <f>IF($A15="","",IF(发布任务!CN15="",-1,发布任务!CN15))</f>
        <v/>
      </c>
      <c r="BP15" s="1" t="str">
        <f>IF($A15="","",IF(发布任务!CO15="",-1,发布任务!CO15))</f>
        <v/>
      </c>
      <c r="BQ15" s="1" t="str">
        <f>IF($A15="","",IF(发布任务!CP15="",-1,发布任务!CP15))</f>
        <v/>
      </c>
      <c r="BR15" s="1" t="str">
        <f>IF($A15="","",IF(发布任务!CQ15="",-1,发布任务!CQ15))</f>
        <v/>
      </c>
      <c r="BS15" s="1" t="str">
        <f>IF($A15="","",IF(发布任务!CR15="",-1,发布任务!CR15))</f>
        <v/>
      </c>
      <c r="BT15" s="1" t="str">
        <f>IF($A15="","",IF(发布任务!CS15="",-1,发布任务!CS15))</f>
        <v/>
      </c>
      <c r="BU15" s="1" t="str">
        <f>IF($A15="","",IF(发布任务!CT15="",-1,发布任务!CT15))</f>
        <v/>
      </c>
      <c r="BV15" s="1" t="str">
        <f>IF($A15="","",IF(发布任务!CU15="",-1,发布任务!CU15))</f>
        <v/>
      </c>
      <c r="BW15" s="1" t="str">
        <f>IF($A15="","",IF(发布任务!CV15="",-1,发布任务!CV15))</f>
        <v/>
      </c>
      <c r="BX15" s="1" t="str">
        <f>IF($A15="","",IF(发布任务!CW15="",-1,发布任务!CW15))</f>
        <v/>
      </c>
      <c r="BY15" s="1" t="str">
        <f>IF($A15="","",IF(发布任务!CX15="",-1,发布任务!CX15))</f>
        <v/>
      </c>
      <c r="BZ15" s="1" t="str">
        <f>IF($A15="","",IF(发布任务!CY15="",-1,发布任务!CY15))</f>
        <v/>
      </c>
      <c r="CA15" s="1" t="str">
        <f>IF($A15="","",IF(发布任务!CZ15="",-1,发布任务!CZ15))</f>
        <v/>
      </c>
      <c r="CB15" s="1" t="str">
        <f>IF($A15="","",IF(发布任务!DA15="",-1,发布任务!DA15))</f>
        <v/>
      </c>
      <c r="CC15" s="1" t="str">
        <f>IF($A15="","",IF(发布任务!DB15="",-1,发布任务!DB15))</f>
        <v/>
      </c>
      <c r="CD15" s="1" t="str">
        <f>IF($A15="","",IF(发布任务!DC15="",-1,发布任务!DC15))</f>
        <v/>
      </c>
      <c r="CE15" s="1" t="str">
        <f>IF($A15="","",IF(发布任务!DD15="",-1,发布任务!DD15))</f>
        <v/>
      </c>
      <c r="CF15" s="1" t="str">
        <f>IF($A15="","",IF(发布任务!DE15="",-1,发布任务!DE15))</f>
        <v/>
      </c>
      <c r="CG15" s="1" t="str">
        <f>IF($A15="","",IF(发布任务!DF15="",-1,发布任务!DF15))</f>
        <v/>
      </c>
      <c r="CH15" s="1" t="str">
        <f>IF($A15="","",IF(发布任务!DG15="",-1,发布任务!DG15))</f>
        <v/>
      </c>
      <c r="CI15" s="1" t="str">
        <f>IF($A15="","",IF(发布任务!DH15="",-1,发布任务!DH15))</f>
        <v/>
      </c>
      <c r="CJ15" s="1" t="str">
        <f>IF($A15="","",IF(发布任务!DI15="",-1,发布任务!DI15))</f>
        <v/>
      </c>
      <c r="CK15" s="1" t="str">
        <f>IF($A15="","",IF(发布任务!DJ15="",-1,发布任务!DJ15))</f>
        <v/>
      </c>
      <c r="CL15" s="1" t="str">
        <f>IF($A15="","",IF(发布任务!DK15="",-1,发布任务!DK15))</f>
        <v/>
      </c>
      <c r="CM15" s="1" t="str">
        <f>IF($A15="","",IF(发布任务!DL15="",-1,发布任务!DL15))</f>
        <v/>
      </c>
      <c r="CN15" s="1" t="str">
        <f>IF($A15="","",IF(发布任务!DM15="",-1,发布任务!DM15))</f>
        <v/>
      </c>
      <c r="CO15" s="1" t="str">
        <f>IF($A15="","",IF(发布任务!DN15="",-1,发布任务!DN15))</f>
        <v/>
      </c>
      <c r="CP15" s="1" t="str">
        <f>IF($A15="","",IF(发布任务!DO15="",-1,发布任务!DO15))</f>
        <v/>
      </c>
      <c r="CQ15" s="1" t="str">
        <f>IF($A15="","",IF(发布任务!DP15="",-1,发布任务!DP15))</f>
        <v/>
      </c>
      <c r="CR15" s="1" t="str">
        <f>IF($A15="","",IF(发布任务!DQ15="",-1,发布任务!DQ15))</f>
        <v/>
      </c>
      <c r="CS15" s="1" t="str">
        <f>IF($A15="","",IF(发布任务!DR15="",-1,发布任务!DR15))</f>
        <v/>
      </c>
      <c r="CT15" s="1" t="str">
        <f>IF($A15="","",IF(发布任务!DS15="",-1,发布任务!DS15))</f>
        <v/>
      </c>
      <c r="CU15" s="1" t="str">
        <f>IF($A15="","",IF(发布任务!DT15="",-1,发布任务!DT15))</f>
        <v/>
      </c>
      <c r="CV15" s="1" t="str">
        <f>IF($A15="","",IF(发布任务!DU15="",-1,发布任务!DU15))</f>
        <v/>
      </c>
      <c r="CW15" s="1" t="str">
        <f>IF($A15="","",IF(发布任务!DV15="",-1,发布任务!DV15))</f>
        <v/>
      </c>
      <c r="CX15" s="1" t="str">
        <f>IF($A15="","",IF(发布任务!DW15="",-1,发布任务!DW15))</f>
        <v/>
      </c>
      <c r="CY15" s="1" t="str">
        <f>IF($A15="","",IF(发布任务!DX15="",-1,发布任务!DX15))</f>
        <v/>
      </c>
      <c r="CZ15" s="1" t="str">
        <f>IF($A15="","",IF(发布任务!DY15="",-1,发布任务!DY15))</f>
        <v/>
      </c>
      <c r="DA15" s="1" t="str">
        <f>IF($A15="","",IF(发布任务!DZ15="",-1,发布任务!DZ15))</f>
        <v/>
      </c>
      <c r="DB15" s="1" t="str">
        <f>IF($A15="","",IF(发布任务!EA15="",-1,发布任务!EA15))</f>
        <v/>
      </c>
      <c r="DC15" s="1" t="str">
        <f>IF($A15="","",IF(发布任务!EB15="",-1,发布任务!EB15))</f>
        <v/>
      </c>
      <c r="DD15" s="1" t="str">
        <f>IF($A15="","",IF(发布任务!EC15="",-1,发布任务!EC15))</f>
        <v/>
      </c>
      <c r="DE15" s="1" t="str">
        <f>IF($A15="","",IF(发布任务!ED15="",-1,发布任务!ED15))</f>
        <v/>
      </c>
      <c r="DF15" s="1" t="str">
        <f>IF($A15="","",IF(发布任务!EE15="",-1,发布任务!EE15))</f>
        <v/>
      </c>
    </row>
    <row r="16" spans="2:110">
      <c r="B16" s="1" t="str">
        <f>IF($A16="","",VLOOKUP(A16,捏造NPC!$A:$R,5,FALSE))</f>
        <v/>
      </c>
      <c r="C16" s="1" t="str">
        <f>IF($A16="","",VLOOKUP(A16,捏造NPC!$A:$R,18,FALSE))</f>
        <v/>
      </c>
      <c r="D16" s="1" t="str">
        <f t="shared" si="0"/>
        <v/>
      </c>
      <c r="E16" s="1" t="str">
        <f t="shared" si="1"/>
        <v/>
      </c>
      <c r="J16" s="1"/>
      <c r="K16" s="1" t="str">
        <f>IF($A16="","",IF(发布任务!AJ16="",-1,发布任务!AJ16))</f>
        <v/>
      </c>
      <c r="L16" s="1" t="str">
        <f>IF($A16="","",IF(发布任务!AK16="",-1,发布任务!AK16))</f>
        <v/>
      </c>
      <c r="M16" s="1" t="str">
        <f>IF($A16="","",IF(发布任务!AL16="",-1,发布任务!AL16))</f>
        <v/>
      </c>
      <c r="N16" s="1" t="str">
        <f>IF($A16="","",IF(发布任务!AM16="",-1,发布任务!AM16))</f>
        <v/>
      </c>
      <c r="O16" s="1" t="str">
        <f>IF($A16="","",IF(发布任务!AN16="",-1,发布任务!AN16))</f>
        <v/>
      </c>
      <c r="P16" s="1" t="str">
        <f>IF($A16="","",IF(发布任务!AO16="",-1,发布任务!AO16))</f>
        <v/>
      </c>
      <c r="Q16" s="1" t="str">
        <f>IF($A16="","",IF(发布任务!AP16="",-1,发布任务!AP16))</f>
        <v/>
      </c>
      <c r="R16" s="1" t="str">
        <f>IF($A16="","",IF(发布任务!AQ16="",-1,发布任务!AQ16))</f>
        <v/>
      </c>
      <c r="S16" s="1" t="str">
        <f>IF($A16="","",IF(发布任务!AR16="",-1,发布任务!AR16))</f>
        <v/>
      </c>
      <c r="T16" s="1" t="str">
        <f>IF($A16="","",IF(发布任务!AS16="",-1,发布任务!AS16))</f>
        <v/>
      </c>
      <c r="U16" s="1" t="str">
        <f>IF($A16="","",IF(发布任务!AT16="",-1,发布任务!AT16))</f>
        <v/>
      </c>
      <c r="V16" s="1" t="str">
        <f>IF($A16="","",IF(发布任务!AU16="",-1,发布任务!AU16))</f>
        <v/>
      </c>
      <c r="W16" s="1" t="str">
        <f>IF($A16="","",IF(发布任务!AV16="",-1,发布任务!AV16))</f>
        <v/>
      </c>
      <c r="X16" s="1" t="str">
        <f>IF($A16="","",IF(发布任务!AW16="",-1,发布任务!AW16))</f>
        <v/>
      </c>
      <c r="Y16" s="1" t="str">
        <f>IF($A16="","",IF(发布任务!AX16="",-1,发布任务!AX16))</f>
        <v/>
      </c>
      <c r="Z16" s="1" t="str">
        <f>IF($A16="","",IF(发布任务!AY16="",-1,发布任务!AY16))</f>
        <v/>
      </c>
      <c r="AA16" s="1" t="str">
        <f>IF($A16="","",IF(发布任务!AZ16="",-1,发布任务!AZ16))</f>
        <v/>
      </c>
      <c r="AB16" s="1" t="str">
        <f>IF($A16="","",IF(发布任务!BA16="",-1,发布任务!BA16))</f>
        <v/>
      </c>
      <c r="AC16" s="1" t="str">
        <f>IF($A16="","",IF(发布任务!BB16="",-1,发布任务!BB16))</f>
        <v/>
      </c>
      <c r="AD16" s="1" t="str">
        <f>IF($A16="","",IF(发布任务!BC16="",-1,发布任务!BC16))</f>
        <v/>
      </c>
      <c r="AE16" s="1" t="str">
        <f>IF($A16="","",IF(发布任务!BD16="",-1,发布任务!BD16))</f>
        <v/>
      </c>
      <c r="AF16" s="1" t="str">
        <f>IF($A16="","",IF(发布任务!BE16="",-1,发布任务!BE16))</f>
        <v/>
      </c>
      <c r="AG16" s="1" t="str">
        <f>IF($A16="","",IF(发布任务!BF16="",-1,发布任务!BF16))</f>
        <v/>
      </c>
      <c r="AH16" s="1" t="str">
        <f>IF($A16="","",IF(发布任务!BG16="",-1,发布任务!BG16))</f>
        <v/>
      </c>
      <c r="AI16" s="1" t="str">
        <f>IF($A16="","",IF(发布任务!BH16="",-1,发布任务!BH16))</f>
        <v/>
      </c>
      <c r="AJ16" s="1" t="str">
        <f>IF($A16="","",IF(发布任务!BI16="",-1,发布任务!BI16))</f>
        <v/>
      </c>
      <c r="AK16" s="1" t="str">
        <f>IF($A16="","",IF(发布任务!BJ16="",-1,发布任务!BJ16))</f>
        <v/>
      </c>
      <c r="AL16" s="1" t="str">
        <f>IF($A16="","",IF(发布任务!BK16="",-1,发布任务!BK16))</f>
        <v/>
      </c>
      <c r="AM16" s="1" t="str">
        <f>IF($A16="","",IF(发布任务!BL16="",-1,发布任务!BL16))</f>
        <v/>
      </c>
      <c r="AN16" s="1" t="str">
        <f>IF($A16="","",IF(发布任务!BM16="",-1,发布任务!BM16))</f>
        <v/>
      </c>
      <c r="AO16" s="1" t="str">
        <f>IF($A16="","",IF(发布任务!BN16="",-1,发布任务!BN16))</f>
        <v/>
      </c>
      <c r="AP16" s="1" t="str">
        <f>IF($A16="","",IF(发布任务!BO16="",-1,发布任务!BO16))</f>
        <v/>
      </c>
      <c r="AQ16" s="1" t="str">
        <f>IF($A16="","",IF(发布任务!BP16="",-1,发布任务!BP16))</f>
        <v/>
      </c>
      <c r="AR16" s="1" t="str">
        <f>IF($A16="","",IF(发布任务!BQ16="",-1,发布任务!BQ16))</f>
        <v/>
      </c>
      <c r="AS16" s="1" t="str">
        <f>IF($A16="","",IF(发布任务!BR16="",-1,发布任务!BR16))</f>
        <v/>
      </c>
      <c r="AT16" s="1" t="str">
        <f>IF($A16="","",IF(发布任务!BS16="",-1,发布任务!BS16))</f>
        <v/>
      </c>
      <c r="AU16" s="1" t="str">
        <f>IF($A16="","",IF(发布任务!BT16="",-1,发布任务!BT16))</f>
        <v/>
      </c>
      <c r="AV16" s="1" t="str">
        <f>IF($A16="","",IF(发布任务!BU16="",-1,发布任务!BU16))</f>
        <v/>
      </c>
      <c r="AW16" s="1" t="str">
        <f>IF($A16="","",IF(发布任务!BV16="",-1,发布任务!BV16))</f>
        <v/>
      </c>
      <c r="AX16" s="1" t="str">
        <f>IF($A16="","",IF(发布任务!BW16="",-1,发布任务!BW16))</f>
        <v/>
      </c>
      <c r="AY16" s="1" t="str">
        <f>IF($A16="","",IF(发布任务!BX16="",-1,发布任务!BX16))</f>
        <v/>
      </c>
      <c r="AZ16" s="1" t="str">
        <f>IF($A16="","",IF(发布任务!BY16="",-1,发布任务!BY16))</f>
        <v/>
      </c>
      <c r="BA16" s="1" t="str">
        <f>IF($A16="","",IF(发布任务!BZ16="",-1,发布任务!BZ16))</f>
        <v/>
      </c>
      <c r="BB16" s="1" t="str">
        <f>IF($A16="","",IF(发布任务!CA16="",-1,发布任务!CA16))</f>
        <v/>
      </c>
      <c r="BC16" s="1" t="str">
        <f>IF($A16="","",IF(发布任务!CB16="",-1,发布任务!CB16))</f>
        <v/>
      </c>
      <c r="BD16" s="1" t="str">
        <f>IF($A16="","",IF(发布任务!CC16="",-1,发布任务!CC16))</f>
        <v/>
      </c>
      <c r="BE16" s="1" t="str">
        <f>IF($A16="","",IF(发布任务!CD16="",-1,发布任务!CD16))</f>
        <v/>
      </c>
      <c r="BF16" s="1" t="str">
        <f>IF($A16="","",IF(发布任务!CE16="",-1,发布任务!CE16))</f>
        <v/>
      </c>
      <c r="BG16" s="1" t="str">
        <f>IF($A16="","",IF(发布任务!CF16="",-1,发布任务!CF16))</f>
        <v/>
      </c>
      <c r="BH16" s="1" t="str">
        <f>IF($A16="","",IF(发布任务!CG16="",-1,发布任务!CG16))</f>
        <v/>
      </c>
      <c r="BI16" s="1" t="str">
        <f>IF($A16="","",IF(发布任务!CH16="",-1,发布任务!CH16))</f>
        <v/>
      </c>
      <c r="BJ16" s="1" t="str">
        <f>IF($A16="","",IF(发布任务!CI16="",-1,发布任务!CI16))</f>
        <v/>
      </c>
      <c r="BK16" s="1" t="str">
        <f>IF($A16="","",IF(发布任务!CJ16="",-1,发布任务!CJ16))</f>
        <v/>
      </c>
      <c r="BL16" s="1" t="str">
        <f>IF($A16="","",IF(发布任务!CK16="",-1,发布任务!CK16))</f>
        <v/>
      </c>
      <c r="BM16" s="1" t="str">
        <f>IF($A16="","",IF(发布任务!CL16="",-1,发布任务!CL16))</f>
        <v/>
      </c>
      <c r="BN16" s="1" t="str">
        <f>IF($A16="","",IF(发布任务!CM16="",-1,发布任务!CM16))</f>
        <v/>
      </c>
      <c r="BO16" s="1" t="str">
        <f>IF($A16="","",IF(发布任务!CN16="",-1,发布任务!CN16))</f>
        <v/>
      </c>
      <c r="BP16" s="1" t="str">
        <f>IF($A16="","",IF(发布任务!CO16="",-1,发布任务!CO16))</f>
        <v/>
      </c>
      <c r="BQ16" s="1" t="str">
        <f>IF($A16="","",IF(发布任务!CP16="",-1,发布任务!CP16))</f>
        <v/>
      </c>
      <c r="BR16" s="1" t="str">
        <f>IF($A16="","",IF(发布任务!CQ16="",-1,发布任务!CQ16))</f>
        <v/>
      </c>
      <c r="BS16" s="1" t="str">
        <f>IF($A16="","",IF(发布任务!CR16="",-1,发布任务!CR16))</f>
        <v/>
      </c>
      <c r="BT16" s="1" t="str">
        <f>IF($A16="","",IF(发布任务!CS16="",-1,发布任务!CS16))</f>
        <v/>
      </c>
      <c r="BU16" s="1" t="str">
        <f>IF($A16="","",IF(发布任务!CT16="",-1,发布任务!CT16))</f>
        <v/>
      </c>
      <c r="BV16" s="1" t="str">
        <f>IF($A16="","",IF(发布任务!CU16="",-1,发布任务!CU16))</f>
        <v/>
      </c>
      <c r="BW16" s="1" t="str">
        <f>IF($A16="","",IF(发布任务!CV16="",-1,发布任务!CV16))</f>
        <v/>
      </c>
      <c r="BX16" s="1" t="str">
        <f>IF($A16="","",IF(发布任务!CW16="",-1,发布任务!CW16))</f>
        <v/>
      </c>
      <c r="BY16" s="1" t="str">
        <f>IF($A16="","",IF(发布任务!CX16="",-1,发布任务!CX16))</f>
        <v/>
      </c>
      <c r="BZ16" s="1" t="str">
        <f>IF($A16="","",IF(发布任务!CY16="",-1,发布任务!CY16))</f>
        <v/>
      </c>
      <c r="CA16" s="1" t="str">
        <f>IF($A16="","",IF(发布任务!CZ16="",-1,发布任务!CZ16))</f>
        <v/>
      </c>
      <c r="CB16" s="1" t="str">
        <f>IF($A16="","",IF(发布任务!DA16="",-1,发布任务!DA16))</f>
        <v/>
      </c>
      <c r="CC16" s="1" t="str">
        <f>IF($A16="","",IF(发布任务!DB16="",-1,发布任务!DB16))</f>
        <v/>
      </c>
      <c r="CD16" s="1" t="str">
        <f>IF($A16="","",IF(发布任务!DC16="",-1,发布任务!DC16))</f>
        <v/>
      </c>
      <c r="CE16" s="1" t="str">
        <f>IF($A16="","",IF(发布任务!DD16="",-1,发布任务!DD16))</f>
        <v/>
      </c>
      <c r="CF16" s="1" t="str">
        <f>IF($A16="","",IF(发布任务!DE16="",-1,发布任务!DE16))</f>
        <v/>
      </c>
      <c r="CG16" s="1" t="str">
        <f>IF($A16="","",IF(发布任务!DF16="",-1,发布任务!DF16))</f>
        <v/>
      </c>
      <c r="CH16" s="1" t="str">
        <f>IF($A16="","",IF(发布任务!DG16="",-1,发布任务!DG16))</f>
        <v/>
      </c>
      <c r="CI16" s="1" t="str">
        <f>IF($A16="","",IF(发布任务!DH16="",-1,发布任务!DH16))</f>
        <v/>
      </c>
      <c r="CJ16" s="1" t="str">
        <f>IF($A16="","",IF(发布任务!DI16="",-1,发布任务!DI16))</f>
        <v/>
      </c>
      <c r="CK16" s="1" t="str">
        <f>IF($A16="","",IF(发布任务!DJ16="",-1,发布任务!DJ16))</f>
        <v/>
      </c>
      <c r="CL16" s="1" t="str">
        <f>IF($A16="","",IF(发布任务!DK16="",-1,发布任务!DK16))</f>
        <v/>
      </c>
      <c r="CM16" s="1" t="str">
        <f>IF($A16="","",IF(发布任务!DL16="",-1,发布任务!DL16))</f>
        <v/>
      </c>
      <c r="CN16" s="1" t="str">
        <f>IF($A16="","",IF(发布任务!DM16="",-1,发布任务!DM16))</f>
        <v/>
      </c>
      <c r="CO16" s="1" t="str">
        <f>IF($A16="","",IF(发布任务!DN16="",-1,发布任务!DN16))</f>
        <v/>
      </c>
      <c r="CP16" s="1" t="str">
        <f>IF($A16="","",IF(发布任务!DO16="",-1,发布任务!DO16))</f>
        <v/>
      </c>
      <c r="CQ16" s="1" t="str">
        <f>IF($A16="","",IF(发布任务!DP16="",-1,发布任务!DP16))</f>
        <v/>
      </c>
      <c r="CR16" s="1" t="str">
        <f>IF($A16="","",IF(发布任务!DQ16="",-1,发布任务!DQ16))</f>
        <v/>
      </c>
      <c r="CS16" s="1" t="str">
        <f>IF($A16="","",IF(发布任务!DR16="",-1,发布任务!DR16))</f>
        <v/>
      </c>
      <c r="CT16" s="1" t="str">
        <f>IF($A16="","",IF(发布任务!DS16="",-1,发布任务!DS16))</f>
        <v/>
      </c>
      <c r="CU16" s="1" t="str">
        <f>IF($A16="","",IF(发布任务!DT16="",-1,发布任务!DT16))</f>
        <v/>
      </c>
      <c r="CV16" s="1" t="str">
        <f>IF($A16="","",IF(发布任务!DU16="",-1,发布任务!DU16))</f>
        <v/>
      </c>
      <c r="CW16" s="1" t="str">
        <f>IF($A16="","",IF(发布任务!DV16="",-1,发布任务!DV16))</f>
        <v/>
      </c>
      <c r="CX16" s="1" t="str">
        <f>IF($A16="","",IF(发布任务!DW16="",-1,发布任务!DW16))</f>
        <v/>
      </c>
      <c r="CY16" s="1" t="str">
        <f>IF($A16="","",IF(发布任务!DX16="",-1,发布任务!DX16))</f>
        <v/>
      </c>
      <c r="CZ16" s="1" t="str">
        <f>IF($A16="","",IF(发布任务!DY16="",-1,发布任务!DY16))</f>
        <v/>
      </c>
      <c r="DA16" s="1" t="str">
        <f>IF($A16="","",IF(发布任务!DZ16="",-1,发布任务!DZ16))</f>
        <v/>
      </c>
      <c r="DB16" s="1" t="str">
        <f>IF($A16="","",IF(发布任务!EA16="",-1,发布任务!EA16))</f>
        <v/>
      </c>
      <c r="DC16" s="1" t="str">
        <f>IF($A16="","",IF(发布任务!EB16="",-1,发布任务!EB16))</f>
        <v/>
      </c>
      <c r="DD16" s="1" t="str">
        <f>IF($A16="","",IF(发布任务!EC16="",-1,发布任务!EC16))</f>
        <v/>
      </c>
      <c r="DE16" s="1" t="str">
        <f>IF($A16="","",IF(发布任务!ED16="",-1,发布任务!ED16))</f>
        <v/>
      </c>
      <c r="DF16" s="1" t="str">
        <f>IF($A16="","",IF(发布任务!EE16="",-1,发布任务!EE16))</f>
        <v/>
      </c>
    </row>
    <row r="17" spans="2:110">
      <c r="B17" s="1" t="str">
        <f>IF($A17="","",VLOOKUP(A17,捏造NPC!$A:$R,5,FALSE))</f>
        <v/>
      </c>
      <c r="C17" s="1" t="str">
        <f>IF($A17="","",VLOOKUP(A17,捏造NPC!$A:$R,18,FALSE))</f>
        <v/>
      </c>
      <c r="D17" s="1" t="str">
        <f t="shared" si="0"/>
        <v/>
      </c>
      <c r="E17" s="1" t="str">
        <f t="shared" si="1"/>
        <v/>
      </c>
      <c r="J17" s="1"/>
      <c r="K17" s="1" t="str">
        <f>IF($A17="","",IF(发布任务!AJ17="",-1,发布任务!AJ17))</f>
        <v/>
      </c>
      <c r="L17" s="1" t="str">
        <f>IF($A17="","",IF(发布任务!AK17="",-1,发布任务!AK17))</f>
        <v/>
      </c>
      <c r="M17" s="1" t="str">
        <f>IF($A17="","",IF(发布任务!AL17="",-1,发布任务!AL17))</f>
        <v/>
      </c>
      <c r="N17" s="1" t="str">
        <f>IF($A17="","",IF(发布任务!AM17="",-1,发布任务!AM17))</f>
        <v/>
      </c>
      <c r="O17" s="1" t="str">
        <f>IF($A17="","",IF(发布任务!AN17="",-1,发布任务!AN17))</f>
        <v/>
      </c>
      <c r="P17" s="1" t="str">
        <f>IF($A17="","",IF(发布任务!AO17="",-1,发布任务!AO17))</f>
        <v/>
      </c>
      <c r="Q17" s="1" t="str">
        <f>IF($A17="","",IF(发布任务!AP17="",-1,发布任务!AP17))</f>
        <v/>
      </c>
      <c r="R17" s="1" t="str">
        <f>IF($A17="","",IF(发布任务!AQ17="",-1,发布任务!AQ17))</f>
        <v/>
      </c>
      <c r="S17" s="1" t="str">
        <f>IF($A17="","",IF(发布任务!AR17="",-1,发布任务!AR17))</f>
        <v/>
      </c>
      <c r="T17" s="1" t="str">
        <f>IF($A17="","",IF(发布任务!AS17="",-1,发布任务!AS17))</f>
        <v/>
      </c>
      <c r="U17" s="1" t="str">
        <f>IF($A17="","",IF(发布任务!AT17="",-1,发布任务!AT17))</f>
        <v/>
      </c>
      <c r="V17" s="1" t="str">
        <f>IF($A17="","",IF(发布任务!AU17="",-1,发布任务!AU17))</f>
        <v/>
      </c>
      <c r="W17" s="1" t="str">
        <f>IF($A17="","",IF(发布任务!AV17="",-1,发布任务!AV17))</f>
        <v/>
      </c>
      <c r="X17" s="1" t="str">
        <f>IF($A17="","",IF(发布任务!AW17="",-1,发布任务!AW17))</f>
        <v/>
      </c>
      <c r="Y17" s="1" t="str">
        <f>IF($A17="","",IF(发布任务!AX17="",-1,发布任务!AX17))</f>
        <v/>
      </c>
      <c r="Z17" s="1" t="str">
        <f>IF($A17="","",IF(发布任务!AY17="",-1,发布任务!AY17))</f>
        <v/>
      </c>
      <c r="AA17" s="1" t="str">
        <f>IF($A17="","",IF(发布任务!AZ17="",-1,发布任务!AZ17))</f>
        <v/>
      </c>
      <c r="AB17" s="1" t="str">
        <f>IF($A17="","",IF(发布任务!BA17="",-1,发布任务!BA17))</f>
        <v/>
      </c>
      <c r="AC17" s="1" t="str">
        <f>IF($A17="","",IF(发布任务!BB17="",-1,发布任务!BB17))</f>
        <v/>
      </c>
      <c r="AD17" s="1" t="str">
        <f>IF($A17="","",IF(发布任务!BC17="",-1,发布任务!BC17))</f>
        <v/>
      </c>
      <c r="AE17" s="1" t="str">
        <f>IF($A17="","",IF(发布任务!BD17="",-1,发布任务!BD17))</f>
        <v/>
      </c>
      <c r="AF17" s="1" t="str">
        <f>IF($A17="","",IF(发布任务!BE17="",-1,发布任务!BE17))</f>
        <v/>
      </c>
      <c r="AG17" s="1" t="str">
        <f>IF($A17="","",IF(发布任务!BF17="",-1,发布任务!BF17))</f>
        <v/>
      </c>
      <c r="AH17" s="1" t="str">
        <f>IF($A17="","",IF(发布任务!BG17="",-1,发布任务!BG17))</f>
        <v/>
      </c>
      <c r="AI17" s="1" t="str">
        <f>IF($A17="","",IF(发布任务!BH17="",-1,发布任务!BH17))</f>
        <v/>
      </c>
      <c r="AJ17" s="1" t="str">
        <f>IF($A17="","",IF(发布任务!BI17="",-1,发布任务!BI17))</f>
        <v/>
      </c>
      <c r="AK17" s="1" t="str">
        <f>IF($A17="","",IF(发布任务!BJ17="",-1,发布任务!BJ17))</f>
        <v/>
      </c>
      <c r="AL17" s="1" t="str">
        <f>IF($A17="","",IF(发布任务!BK17="",-1,发布任务!BK17))</f>
        <v/>
      </c>
      <c r="AM17" s="1" t="str">
        <f>IF($A17="","",IF(发布任务!BL17="",-1,发布任务!BL17))</f>
        <v/>
      </c>
      <c r="AN17" s="1" t="str">
        <f>IF($A17="","",IF(发布任务!BM17="",-1,发布任务!BM17))</f>
        <v/>
      </c>
      <c r="AO17" s="1" t="str">
        <f>IF($A17="","",IF(发布任务!BN17="",-1,发布任务!BN17))</f>
        <v/>
      </c>
      <c r="AP17" s="1" t="str">
        <f>IF($A17="","",IF(发布任务!BO17="",-1,发布任务!BO17))</f>
        <v/>
      </c>
      <c r="AQ17" s="1" t="str">
        <f>IF($A17="","",IF(发布任务!BP17="",-1,发布任务!BP17))</f>
        <v/>
      </c>
      <c r="AR17" s="1" t="str">
        <f>IF($A17="","",IF(发布任务!BQ17="",-1,发布任务!BQ17))</f>
        <v/>
      </c>
      <c r="AS17" s="1" t="str">
        <f>IF($A17="","",IF(发布任务!BR17="",-1,发布任务!BR17))</f>
        <v/>
      </c>
      <c r="AT17" s="1" t="str">
        <f>IF($A17="","",IF(发布任务!BS17="",-1,发布任务!BS17))</f>
        <v/>
      </c>
      <c r="AU17" s="1" t="str">
        <f>IF($A17="","",IF(发布任务!BT17="",-1,发布任务!BT17))</f>
        <v/>
      </c>
      <c r="AV17" s="1" t="str">
        <f>IF($A17="","",IF(发布任务!BU17="",-1,发布任务!BU17))</f>
        <v/>
      </c>
      <c r="AW17" s="1" t="str">
        <f>IF($A17="","",IF(发布任务!BV17="",-1,发布任务!BV17))</f>
        <v/>
      </c>
      <c r="AX17" s="1" t="str">
        <f>IF($A17="","",IF(发布任务!BW17="",-1,发布任务!BW17))</f>
        <v/>
      </c>
      <c r="AY17" s="1" t="str">
        <f>IF($A17="","",IF(发布任务!BX17="",-1,发布任务!BX17))</f>
        <v/>
      </c>
      <c r="AZ17" s="1" t="str">
        <f>IF($A17="","",IF(发布任务!BY17="",-1,发布任务!BY17))</f>
        <v/>
      </c>
      <c r="BA17" s="1" t="str">
        <f>IF($A17="","",IF(发布任务!BZ17="",-1,发布任务!BZ17))</f>
        <v/>
      </c>
      <c r="BB17" s="1" t="str">
        <f>IF($A17="","",IF(发布任务!CA17="",-1,发布任务!CA17))</f>
        <v/>
      </c>
      <c r="BC17" s="1" t="str">
        <f>IF($A17="","",IF(发布任务!CB17="",-1,发布任务!CB17))</f>
        <v/>
      </c>
      <c r="BD17" s="1" t="str">
        <f>IF($A17="","",IF(发布任务!CC17="",-1,发布任务!CC17))</f>
        <v/>
      </c>
      <c r="BE17" s="1" t="str">
        <f>IF($A17="","",IF(发布任务!CD17="",-1,发布任务!CD17))</f>
        <v/>
      </c>
      <c r="BF17" s="1" t="str">
        <f>IF($A17="","",IF(发布任务!CE17="",-1,发布任务!CE17))</f>
        <v/>
      </c>
      <c r="BG17" s="1" t="str">
        <f>IF($A17="","",IF(发布任务!CF17="",-1,发布任务!CF17))</f>
        <v/>
      </c>
      <c r="BH17" s="1" t="str">
        <f>IF($A17="","",IF(发布任务!CG17="",-1,发布任务!CG17))</f>
        <v/>
      </c>
      <c r="BI17" s="1" t="str">
        <f>IF($A17="","",IF(发布任务!CH17="",-1,发布任务!CH17))</f>
        <v/>
      </c>
      <c r="BJ17" s="1" t="str">
        <f>IF($A17="","",IF(发布任务!CI17="",-1,发布任务!CI17))</f>
        <v/>
      </c>
      <c r="BK17" s="1" t="str">
        <f>IF($A17="","",IF(发布任务!CJ17="",-1,发布任务!CJ17))</f>
        <v/>
      </c>
      <c r="BL17" s="1" t="str">
        <f>IF($A17="","",IF(发布任务!CK17="",-1,发布任务!CK17))</f>
        <v/>
      </c>
      <c r="BM17" s="1" t="str">
        <f>IF($A17="","",IF(发布任务!CL17="",-1,发布任务!CL17))</f>
        <v/>
      </c>
      <c r="BN17" s="1" t="str">
        <f>IF($A17="","",IF(发布任务!CM17="",-1,发布任务!CM17))</f>
        <v/>
      </c>
      <c r="BO17" s="1" t="str">
        <f>IF($A17="","",IF(发布任务!CN17="",-1,发布任务!CN17))</f>
        <v/>
      </c>
      <c r="BP17" s="1" t="str">
        <f>IF($A17="","",IF(发布任务!CO17="",-1,发布任务!CO17))</f>
        <v/>
      </c>
      <c r="BQ17" s="1" t="str">
        <f>IF($A17="","",IF(发布任务!CP17="",-1,发布任务!CP17))</f>
        <v/>
      </c>
      <c r="BR17" s="1" t="str">
        <f>IF($A17="","",IF(发布任务!CQ17="",-1,发布任务!CQ17))</f>
        <v/>
      </c>
      <c r="BS17" s="1" t="str">
        <f>IF($A17="","",IF(发布任务!CR17="",-1,发布任务!CR17))</f>
        <v/>
      </c>
      <c r="BT17" s="1" t="str">
        <f>IF($A17="","",IF(发布任务!CS17="",-1,发布任务!CS17))</f>
        <v/>
      </c>
      <c r="BU17" s="1" t="str">
        <f>IF($A17="","",IF(发布任务!CT17="",-1,发布任务!CT17))</f>
        <v/>
      </c>
      <c r="BV17" s="1" t="str">
        <f>IF($A17="","",IF(发布任务!CU17="",-1,发布任务!CU17))</f>
        <v/>
      </c>
      <c r="BW17" s="1" t="str">
        <f>IF($A17="","",IF(发布任务!CV17="",-1,发布任务!CV17))</f>
        <v/>
      </c>
      <c r="BX17" s="1" t="str">
        <f>IF($A17="","",IF(发布任务!CW17="",-1,发布任务!CW17))</f>
        <v/>
      </c>
      <c r="BY17" s="1" t="str">
        <f>IF($A17="","",IF(发布任务!CX17="",-1,发布任务!CX17))</f>
        <v/>
      </c>
      <c r="BZ17" s="1" t="str">
        <f>IF($A17="","",IF(发布任务!CY17="",-1,发布任务!CY17))</f>
        <v/>
      </c>
      <c r="CA17" s="1" t="str">
        <f>IF($A17="","",IF(发布任务!CZ17="",-1,发布任务!CZ17))</f>
        <v/>
      </c>
      <c r="CB17" s="1" t="str">
        <f>IF($A17="","",IF(发布任务!DA17="",-1,发布任务!DA17))</f>
        <v/>
      </c>
      <c r="CC17" s="1" t="str">
        <f>IF($A17="","",IF(发布任务!DB17="",-1,发布任务!DB17))</f>
        <v/>
      </c>
      <c r="CD17" s="1" t="str">
        <f>IF($A17="","",IF(发布任务!DC17="",-1,发布任务!DC17))</f>
        <v/>
      </c>
      <c r="CE17" s="1" t="str">
        <f>IF($A17="","",IF(发布任务!DD17="",-1,发布任务!DD17))</f>
        <v/>
      </c>
      <c r="CF17" s="1" t="str">
        <f>IF($A17="","",IF(发布任务!DE17="",-1,发布任务!DE17))</f>
        <v/>
      </c>
      <c r="CG17" s="1" t="str">
        <f>IF($A17="","",IF(发布任务!DF17="",-1,发布任务!DF17))</f>
        <v/>
      </c>
      <c r="CH17" s="1" t="str">
        <f>IF($A17="","",IF(发布任务!DG17="",-1,发布任务!DG17))</f>
        <v/>
      </c>
      <c r="CI17" s="1" t="str">
        <f>IF($A17="","",IF(发布任务!DH17="",-1,发布任务!DH17))</f>
        <v/>
      </c>
      <c r="CJ17" s="1" t="str">
        <f>IF($A17="","",IF(发布任务!DI17="",-1,发布任务!DI17))</f>
        <v/>
      </c>
      <c r="CK17" s="1" t="str">
        <f>IF($A17="","",IF(发布任务!DJ17="",-1,发布任务!DJ17))</f>
        <v/>
      </c>
      <c r="CL17" s="1" t="str">
        <f>IF($A17="","",IF(发布任务!DK17="",-1,发布任务!DK17))</f>
        <v/>
      </c>
      <c r="CM17" s="1" t="str">
        <f>IF($A17="","",IF(发布任务!DL17="",-1,发布任务!DL17))</f>
        <v/>
      </c>
      <c r="CN17" s="1" t="str">
        <f>IF($A17="","",IF(发布任务!DM17="",-1,发布任务!DM17))</f>
        <v/>
      </c>
      <c r="CO17" s="1" t="str">
        <f>IF($A17="","",IF(发布任务!DN17="",-1,发布任务!DN17))</f>
        <v/>
      </c>
      <c r="CP17" s="1" t="str">
        <f>IF($A17="","",IF(发布任务!DO17="",-1,发布任务!DO17))</f>
        <v/>
      </c>
      <c r="CQ17" s="1" t="str">
        <f>IF($A17="","",IF(发布任务!DP17="",-1,发布任务!DP17))</f>
        <v/>
      </c>
      <c r="CR17" s="1" t="str">
        <f>IF($A17="","",IF(发布任务!DQ17="",-1,发布任务!DQ17))</f>
        <v/>
      </c>
      <c r="CS17" s="1" t="str">
        <f>IF($A17="","",IF(发布任务!DR17="",-1,发布任务!DR17))</f>
        <v/>
      </c>
      <c r="CT17" s="1" t="str">
        <f>IF($A17="","",IF(发布任务!DS17="",-1,发布任务!DS17))</f>
        <v/>
      </c>
      <c r="CU17" s="1" t="str">
        <f>IF($A17="","",IF(发布任务!DT17="",-1,发布任务!DT17))</f>
        <v/>
      </c>
      <c r="CV17" s="1" t="str">
        <f>IF($A17="","",IF(发布任务!DU17="",-1,发布任务!DU17))</f>
        <v/>
      </c>
      <c r="CW17" s="1" t="str">
        <f>IF($A17="","",IF(发布任务!DV17="",-1,发布任务!DV17))</f>
        <v/>
      </c>
      <c r="CX17" s="1" t="str">
        <f>IF($A17="","",IF(发布任务!DW17="",-1,发布任务!DW17))</f>
        <v/>
      </c>
      <c r="CY17" s="1" t="str">
        <f>IF($A17="","",IF(发布任务!DX17="",-1,发布任务!DX17))</f>
        <v/>
      </c>
      <c r="CZ17" s="1" t="str">
        <f>IF($A17="","",IF(发布任务!DY17="",-1,发布任务!DY17))</f>
        <v/>
      </c>
      <c r="DA17" s="1" t="str">
        <f>IF($A17="","",IF(发布任务!DZ17="",-1,发布任务!DZ17))</f>
        <v/>
      </c>
      <c r="DB17" s="1" t="str">
        <f>IF($A17="","",IF(发布任务!EA17="",-1,发布任务!EA17))</f>
        <v/>
      </c>
      <c r="DC17" s="1" t="str">
        <f>IF($A17="","",IF(发布任务!EB17="",-1,发布任务!EB17))</f>
        <v/>
      </c>
      <c r="DD17" s="1" t="str">
        <f>IF($A17="","",IF(发布任务!EC17="",-1,发布任务!EC17))</f>
        <v/>
      </c>
      <c r="DE17" s="1" t="str">
        <f>IF($A17="","",IF(发布任务!ED17="",-1,发布任务!ED17))</f>
        <v/>
      </c>
      <c r="DF17" s="1" t="str">
        <f>IF($A17="","",IF(发布任务!EE17="",-1,发布任务!EE17))</f>
        <v/>
      </c>
    </row>
    <row r="18" spans="2:110">
      <c r="B18" s="1" t="str">
        <f>IF($A18="","",VLOOKUP(A18,捏造NPC!$A:$R,5,FALSE))</f>
        <v/>
      </c>
      <c r="C18" s="1" t="str">
        <f>IF($A18="","",VLOOKUP(A18,捏造NPC!$A:$R,18,FALSE))</f>
        <v/>
      </c>
      <c r="D18" s="1" t="str">
        <f t="shared" si="0"/>
        <v/>
      </c>
      <c r="E18" s="1" t="str">
        <f t="shared" si="1"/>
        <v/>
      </c>
      <c r="J18" s="1"/>
      <c r="K18" s="1" t="str">
        <f>IF($A18="","",IF(发布任务!AJ18="",-1,发布任务!AJ18))</f>
        <v/>
      </c>
      <c r="L18" s="1" t="str">
        <f>IF($A18="","",IF(发布任务!AK18="",-1,发布任务!AK18))</f>
        <v/>
      </c>
      <c r="M18" s="1" t="str">
        <f>IF($A18="","",IF(发布任务!AL18="",-1,发布任务!AL18))</f>
        <v/>
      </c>
      <c r="N18" s="1" t="str">
        <f>IF($A18="","",IF(发布任务!AM18="",-1,发布任务!AM18))</f>
        <v/>
      </c>
      <c r="O18" s="1" t="str">
        <f>IF($A18="","",IF(发布任务!AN18="",-1,发布任务!AN18))</f>
        <v/>
      </c>
      <c r="P18" s="1" t="str">
        <f>IF($A18="","",IF(发布任务!AO18="",-1,发布任务!AO18))</f>
        <v/>
      </c>
      <c r="Q18" s="1" t="str">
        <f>IF($A18="","",IF(发布任务!AP18="",-1,发布任务!AP18))</f>
        <v/>
      </c>
      <c r="R18" s="1" t="str">
        <f>IF($A18="","",IF(发布任务!AQ18="",-1,发布任务!AQ18))</f>
        <v/>
      </c>
      <c r="S18" s="1" t="str">
        <f>IF($A18="","",IF(发布任务!AR18="",-1,发布任务!AR18))</f>
        <v/>
      </c>
      <c r="T18" s="1" t="str">
        <f>IF($A18="","",IF(发布任务!AS18="",-1,发布任务!AS18))</f>
        <v/>
      </c>
      <c r="U18" s="1" t="str">
        <f>IF($A18="","",IF(发布任务!AT18="",-1,发布任务!AT18))</f>
        <v/>
      </c>
      <c r="V18" s="1" t="str">
        <f>IF($A18="","",IF(发布任务!AU18="",-1,发布任务!AU18))</f>
        <v/>
      </c>
      <c r="W18" s="1" t="str">
        <f>IF($A18="","",IF(发布任务!AV18="",-1,发布任务!AV18))</f>
        <v/>
      </c>
      <c r="X18" s="1" t="str">
        <f>IF($A18="","",IF(发布任务!AW18="",-1,发布任务!AW18))</f>
        <v/>
      </c>
      <c r="Y18" s="1" t="str">
        <f>IF($A18="","",IF(发布任务!AX18="",-1,发布任务!AX18))</f>
        <v/>
      </c>
      <c r="Z18" s="1" t="str">
        <f>IF($A18="","",IF(发布任务!AY18="",-1,发布任务!AY18))</f>
        <v/>
      </c>
      <c r="AA18" s="1" t="str">
        <f>IF($A18="","",IF(发布任务!AZ18="",-1,发布任务!AZ18))</f>
        <v/>
      </c>
      <c r="AB18" s="1" t="str">
        <f>IF($A18="","",IF(发布任务!BA18="",-1,发布任务!BA18))</f>
        <v/>
      </c>
      <c r="AC18" s="1" t="str">
        <f>IF($A18="","",IF(发布任务!BB18="",-1,发布任务!BB18))</f>
        <v/>
      </c>
      <c r="AD18" s="1" t="str">
        <f>IF($A18="","",IF(发布任务!BC18="",-1,发布任务!BC18))</f>
        <v/>
      </c>
      <c r="AE18" s="1" t="str">
        <f>IF($A18="","",IF(发布任务!BD18="",-1,发布任务!BD18))</f>
        <v/>
      </c>
      <c r="AF18" s="1" t="str">
        <f>IF($A18="","",IF(发布任务!BE18="",-1,发布任务!BE18))</f>
        <v/>
      </c>
      <c r="AG18" s="1" t="str">
        <f>IF($A18="","",IF(发布任务!BF18="",-1,发布任务!BF18))</f>
        <v/>
      </c>
      <c r="AH18" s="1" t="str">
        <f>IF($A18="","",IF(发布任务!BG18="",-1,发布任务!BG18))</f>
        <v/>
      </c>
      <c r="AI18" s="1" t="str">
        <f>IF($A18="","",IF(发布任务!BH18="",-1,发布任务!BH18))</f>
        <v/>
      </c>
      <c r="AJ18" s="1" t="str">
        <f>IF($A18="","",IF(发布任务!BI18="",-1,发布任务!BI18))</f>
        <v/>
      </c>
      <c r="AK18" s="1" t="str">
        <f>IF($A18="","",IF(发布任务!BJ18="",-1,发布任务!BJ18))</f>
        <v/>
      </c>
      <c r="AL18" s="1" t="str">
        <f>IF($A18="","",IF(发布任务!BK18="",-1,发布任务!BK18))</f>
        <v/>
      </c>
      <c r="AM18" s="1" t="str">
        <f>IF($A18="","",IF(发布任务!BL18="",-1,发布任务!BL18))</f>
        <v/>
      </c>
      <c r="AN18" s="1" t="str">
        <f>IF($A18="","",IF(发布任务!BM18="",-1,发布任务!BM18))</f>
        <v/>
      </c>
      <c r="AO18" s="1" t="str">
        <f>IF($A18="","",IF(发布任务!BN18="",-1,发布任务!BN18))</f>
        <v/>
      </c>
      <c r="AP18" s="1" t="str">
        <f>IF($A18="","",IF(发布任务!BO18="",-1,发布任务!BO18))</f>
        <v/>
      </c>
      <c r="AQ18" s="1" t="str">
        <f>IF($A18="","",IF(发布任务!BP18="",-1,发布任务!BP18))</f>
        <v/>
      </c>
      <c r="AR18" s="1" t="str">
        <f>IF($A18="","",IF(发布任务!BQ18="",-1,发布任务!BQ18))</f>
        <v/>
      </c>
      <c r="AS18" s="1" t="str">
        <f>IF($A18="","",IF(发布任务!BR18="",-1,发布任务!BR18))</f>
        <v/>
      </c>
      <c r="AT18" s="1" t="str">
        <f>IF($A18="","",IF(发布任务!BS18="",-1,发布任务!BS18))</f>
        <v/>
      </c>
      <c r="AU18" s="1" t="str">
        <f>IF($A18="","",IF(发布任务!BT18="",-1,发布任务!BT18))</f>
        <v/>
      </c>
      <c r="AV18" s="1" t="str">
        <f>IF($A18="","",IF(发布任务!BU18="",-1,发布任务!BU18))</f>
        <v/>
      </c>
      <c r="AW18" s="1" t="str">
        <f>IF($A18="","",IF(发布任务!BV18="",-1,发布任务!BV18))</f>
        <v/>
      </c>
      <c r="AX18" s="1" t="str">
        <f>IF($A18="","",IF(发布任务!BW18="",-1,发布任务!BW18))</f>
        <v/>
      </c>
      <c r="AY18" s="1" t="str">
        <f>IF($A18="","",IF(发布任务!BX18="",-1,发布任务!BX18))</f>
        <v/>
      </c>
      <c r="AZ18" s="1" t="str">
        <f>IF($A18="","",IF(发布任务!BY18="",-1,发布任务!BY18))</f>
        <v/>
      </c>
      <c r="BA18" s="1" t="str">
        <f>IF($A18="","",IF(发布任务!BZ18="",-1,发布任务!BZ18))</f>
        <v/>
      </c>
      <c r="BB18" s="1" t="str">
        <f>IF($A18="","",IF(发布任务!CA18="",-1,发布任务!CA18))</f>
        <v/>
      </c>
      <c r="BC18" s="1" t="str">
        <f>IF($A18="","",IF(发布任务!CB18="",-1,发布任务!CB18))</f>
        <v/>
      </c>
      <c r="BD18" s="1" t="str">
        <f>IF($A18="","",IF(发布任务!CC18="",-1,发布任务!CC18))</f>
        <v/>
      </c>
      <c r="BE18" s="1" t="str">
        <f>IF($A18="","",IF(发布任务!CD18="",-1,发布任务!CD18))</f>
        <v/>
      </c>
      <c r="BF18" s="1" t="str">
        <f>IF($A18="","",IF(发布任务!CE18="",-1,发布任务!CE18))</f>
        <v/>
      </c>
      <c r="BG18" s="1" t="str">
        <f>IF($A18="","",IF(发布任务!CF18="",-1,发布任务!CF18))</f>
        <v/>
      </c>
      <c r="BH18" s="1" t="str">
        <f>IF($A18="","",IF(发布任务!CG18="",-1,发布任务!CG18))</f>
        <v/>
      </c>
      <c r="BI18" s="1" t="str">
        <f>IF($A18="","",IF(发布任务!CH18="",-1,发布任务!CH18))</f>
        <v/>
      </c>
      <c r="BJ18" s="1" t="str">
        <f>IF($A18="","",IF(发布任务!CI18="",-1,发布任务!CI18))</f>
        <v/>
      </c>
      <c r="BK18" s="1" t="str">
        <f>IF($A18="","",IF(发布任务!CJ18="",-1,发布任务!CJ18))</f>
        <v/>
      </c>
      <c r="BL18" s="1" t="str">
        <f>IF($A18="","",IF(发布任务!CK18="",-1,发布任务!CK18))</f>
        <v/>
      </c>
      <c r="BM18" s="1" t="str">
        <f>IF($A18="","",IF(发布任务!CL18="",-1,发布任务!CL18))</f>
        <v/>
      </c>
      <c r="BN18" s="1" t="str">
        <f>IF($A18="","",IF(发布任务!CM18="",-1,发布任务!CM18))</f>
        <v/>
      </c>
      <c r="BO18" s="1" t="str">
        <f>IF($A18="","",IF(发布任务!CN18="",-1,发布任务!CN18))</f>
        <v/>
      </c>
      <c r="BP18" s="1" t="str">
        <f>IF($A18="","",IF(发布任务!CO18="",-1,发布任务!CO18))</f>
        <v/>
      </c>
      <c r="BQ18" s="1" t="str">
        <f>IF($A18="","",IF(发布任务!CP18="",-1,发布任务!CP18))</f>
        <v/>
      </c>
      <c r="BR18" s="1" t="str">
        <f>IF($A18="","",IF(发布任务!CQ18="",-1,发布任务!CQ18))</f>
        <v/>
      </c>
      <c r="BS18" s="1" t="str">
        <f>IF($A18="","",IF(发布任务!CR18="",-1,发布任务!CR18))</f>
        <v/>
      </c>
      <c r="BT18" s="1" t="str">
        <f>IF($A18="","",IF(发布任务!CS18="",-1,发布任务!CS18))</f>
        <v/>
      </c>
      <c r="BU18" s="1" t="str">
        <f>IF($A18="","",IF(发布任务!CT18="",-1,发布任务!CT18))</f>
        <v/>
      </c>
      <c r="BV18" s="1" t="str">
        <f>IF($A18="","",IF(发布任务!CU18="",-1,发布任务!CU18))</f>
        <v/>
      </c>
      <c r="BW18" s="1" t="str">
        <f>IF($A18="","",IF(发布任务!CV18="",-1,发布任务!CV18))</f>
        <v/>
      </c>
      <c r="BX18" s="1" t="str">
        <f>IF($A18="","",IF(发布任务!CW18="",-1,发布任务!CW18))</f>
        <v/>
      </c>
      <c r="BY18" s="1" t="str">
        <f>IF($A18="","",IF(发布任务!CX18="",-1,发布任务!CX18))</f>
        <v/>
      </c>
      <c r="BZ18" s="1" t="str">
        <f>IF($A18="","",IF(发布任务!CY18="",-1,发布任务!CY18))</f>
        <v/>
      </c>
      <c r="CA18" s="1" t="str">
        <f>IF($A18="","",IF(发布任务!CZ18="",-1,发布任务!CZ18))</f>
        <v/>
      </c>
      <c r="CB18" s="1" t="str">
        <f>IF($A18="","",IF(发布任务!DA18="",-1,发布任务!DA18))</f>
        <v/>
      </c>
      <c r="CC18" s="1" t="str">
        <f>IF($A18="","",IF(发布任务!DB18="",-1,发布任务!DB18))</f>
        <v/>
      </c>
      <c r="CD18" s="1" t="str">
        <f>IF($A18="","",IF(发布任务!DC18="",-1,发布任务!DC18))</f>
        <v/>
      </c>
      <c r="CE18" s="1" t="str">
        <f>IF($A18="","",IF(发布任务!DD18="",-1,发布任务!DD18))</f>
        <v/>
      </c>
      <c r="CF18" s="1" t="str">
        <f>IF($A18="","",IF(发布任务!DE18="",-1,发布任务!DE18))</f>
        <v/>
      </c>
      <c r="CG18" s="1" t="str">
        <f>IF($A18="","",IF(发布任务!DF18="",-1,发布任务!DF18))</f>
        <v/>
      </c>
      <c r="CH18" s="1" t="str">
        <f>IF($A18="","",IF(发布任务!DG18="",-1,发布任务!DG18))</f>
        <v/>
      </c>
      <c r="CI18" s="1" t="str">
        <f>IF($A18="","",IF(发布任务!DH18="",-1,发布任务!DH18))</f>
        <v/>
      </c>
      <c r="CJ18" s="1" t="str">
        <f>IF($A18="","",IF(发布任务!DI18="",-1,发布任务!DI18))</f>
        <v/>
      </c>
      <c r="CK18" s="1" t="str">
        <f>IF($A18="","",IF(发布任务!DJ18="",-1,发布任务!DJ18))</f>
        <v/>
      </c>
      <c r="CL18" s="1" t="str">
        <f>IF($A18="","",IF(发布任务!DK18="",-1,发布任务!DK18))</f>
        <v/>
      </c>
      <c r="CM18" s="1" t="str">
        <f>IF($A18="","",IF(发布任务!DL18="",-1,发布任务!DL18))</f>
        <v/>
      </c>
      <c r="CN18" s="1" t="str">
        <f>IF($A18="","",IF(发布任务!DM18="",-1,发布任务!DM18))</f>
        <v/>
      </c>
      <c r="CO18" s="1" t="str">
        <f>IF($A18="","",IF(发布任务!DN18="",-1,发布任务!DN18))</f>
        <v/>
      </c>
      <c r="CP18" s="1" t="str">
        <f>IF($A18="","",IF(发布任务!DO18="",-1,发布任务!DO18))</f>
        <v/>
      </c>
      <c r="CQ18" s="1" t="str">
        <f>IF($A18="","",IF(发布任务!DP18="",-1,发布任务!DP18))</f>
        <v/>
      </c>
      <c r="CR18" s="1" t="str">
        <f>IF($A18="","",IF(发布任务!DQ18="",-1,发布任务!DQ18))</f>
        <v/>
      </c>
      <c r="CS18" s="1" t="str">
        <f>IF($A18="","",IF(发布任务!DR18="",-1,发布任务!DR18))</f>
        <v/>
      </c>
      <c r="CT18" s="1" t="str">
        <f>IF($A18="","",IF(发布任务!DS18="",-1,发布任务!DS18))</f>
        <v/>
      </c>
      <c r="CU18" s="1" t="str">
        <f>IF($A18="","",IF(发布任务!DT18="",-1,发布任务!DT18))</f>
        <v/>
      </c>
      <c r="CV18" s="1" t="str">
        <f>IF($A18="","",IF(发布任务!DU18="",-1,发布任务!DU18))</f>
        <v/>
      </c>
      <c r="CW18" s="1" t="str">
        <f>IF($A18="","",IF(发布任务!DV18="",-1,发布任务!DV18))</f>
        <v/>
      </c>
      <c r="CX18" s="1" t="str">
        <f>IF($A18="","",IF(发布任务!DW18="",-1,发布任务!DW18))</f>
        <v/>
      </c>
      <c r="CY18" s="1" t="str">
        <f>IF($A18="","",IF(发布任务!DX18="",-1,发布任务!DX18))</f>
        <v/>
      </c>
      <c r="CZ18" s="1" t="str">
        <f>IF($A18="","",IF(发布任务!DY18="",-1,发布任务!DY18))</f>
        <v/>
      </c>
      <c r="DA18" s="1" t="str">
        <f>IF($A18="","",IF(发布任务!DZ18="",-1,发布任务!DZ18))</f>
        <v/>
      </c>
      <c r="DB18" s="1" t="str">
        <f>IF($A18="","",IF(发布任务!EA18="",-1,发布任务!EA18))</f>
        <v/>
      </c>
      <c r="DC18" s="1" t="str">
        <f>IF($A18="","",IF(发布任务!EB18="",-1,发布任务!EB18))</f>
        <v/>
      </c>
      <c r="DD18" s="1" t="str">
        <f>IF($A18="","",IF(发布任务!EC18="",-1,发布任务!EC18))</f>
        <v/>
      </c>
      <c r="DE18" s="1" t="str">
        <f>IF($A18="","",IF(发布任务!ED18="",-1,发布任务!ED18))</f>
        <v/>
      </c>
      <c r="DF18" s="1" t="str">
        <f>IF($A18="","",IF(发布任务!EE18="",-1,发布任务!EE18))</f>
        <v/>
      </c>
    </row>
    <row r="19" spans="2:110">
      <c r="B19" s="1" t="str">
        <f>IF($A19="","",VLOOKUP(A19,捏造NPC!$A:$R,5,FALSE))</f>
        <v/>
      </c>
      <c r="C19" s="1" t="str">
        <f>IF($A19="","",VLOOKUP(A19,捏造NPC!$A:$R,18,FALSE))</f>
        <v/>
      </c>
      <c r="D19" s="1" t="str">
        <f t="shared" si="0"/>
        <v/>
      </c>
      <c r="E19" s="1" t="str">
        <f t="shared" si="1"/>
        <v/>
      </c>
      <c r="J19" s="1"/>
      <c r="K19" s="1" t="str">
        <f>IF($A19="","",IF(发布任务!AJ19="",-1,发布任务!AJ19))</f>
        <v/>
      </c>
      <c r="L19" s="1" t="str">
        <f>IF($A19="","",IF(发布任务!AK19="",-1,发布任务!AK19))</f>
        <v/>
      </c>
      <c r="M19" s="1" t="str">
        <f>IF($A19="","",IF(发布任务!AL19="",-1,发布任务!AL19))</f>
        <v/>
      </c>
      <c r="N19" s="1" t="str">
        <f>IF($A19="","",IF(发布任务!AM19="",-1,发布任务!AM19))</f>
        <v/>
      </c>
      <c r="O19" s="1" t="str">
        <f>IF($A19="","",IF(发布任务!AN19="",-1,发布任务!AN19))</f>
        <v/>
      </c>
      <c r="P19" s="1" t="str">
        <f>IF($A19="","",IF(发布任务!AO19="",-1,发布任务!AO19))</f>
        <v/>
      </c>
      <c r="Q19" s="1" t="str">
        <f>IF($A19="","",IF(发布任务!AP19="",-1,发布任务!AP19))</f>
        <v/>
      </c>
      <c r="R19" s="1" t="str">
        <f>IF($A19="","",IF(发布任务!AQ19="",-1,发布任务!AQ19))</f>
        <v/>
      </c>
      <c r="S19" s="1" t="str">
        <f>IF($A19="","",IF(发布任务!AR19="",-1,发布任务!AR19))</f>
        <v/>
      </c>
      <c r="T19" s="1" t="str">
        <f>IF($A19="","",IF(发布任务!AS19="",-1,发布任务!AS19))</f>
        <v/>
      </c>
      <c r="U19" s="1" t="str">
        <f>IF($A19="","",IF(发布任务!AT19="",-1,发布任务!AT19))</f>
        <v/>
      </c>
      <c r="V19" s="1" t="str">
        <f>IF($A19="","",IF(发布任务!AU19="",-1,发布任务!AU19))</f>
        <v/>
      </c>
      <c r="W19" s="1" t="str">
        <f>IF($A19="","",IF(发布任务!AV19="",-1,发布任务!AV19))</f>
        <v/>
      </c>
      <c r="X19" s="1" t="str">
        <f>IF($A19="","",IF(发布任务!AW19="",-1,发布任务!AW19))</f>
        <v/>
      </c>
      <c r="Y19" s="1" t="str">
        <f>IF($A19="","",IF(发布任务!AX19="",-1,发布任务!AX19))</f>
        <v/>
      </c>
      <c r="Z19" s="1" t="str">
        <f>IF($A19="","",IF(发布任务!AY19="",-1,发布任务!AY19))</f>
        <v/>
      </c>
      <c r="AA19" s="1" t="str">
        <f>IF($A19="","",IF(发布任务!AZ19="",-1,发布任务!AZ19))</f>
        <v/>
      </c>
      <c r="AB19" s="1" t="str">
        <f>IF($A19="","",IF(发布任务!BA19="",-1,发布任务!BA19))</f>
        <v/>
      </c>
      <c r="AC19" s="1" t="str">
        <f>IF($A19="","",IF(发布任务!BB19="",-1,发布任务!BB19))</f>
        <v/>
      </c>
      <c r="AD19" s="1" t="str">
        <f>IF($A19="","",IF(发布任务!BC19="",-1,发布任务!BC19))</f>
        <v/>
      </c>
      <c r="AE19" s="1" t="str">
        <f>IF($A19="","",IF(发布任务!BD19="",-1,发布任务!BD19))</f>
        <v/>
      </c>
      <c r="AF19" s="1" t="str">
        <f>IF($A19="","",IF(发布任务!BE19="",-1,发布任务!BE19))</f>
        <v/>
      </c>
      <c r="AG19" s="1" t="str">
        <f>IF($A19="","",IF(发布任务!BF19="",-1,发布任务!BF19))</f>
        <v/>
      </c>
      <c r="AH19" s="1" t="str">
        <f>IF($A19="","",IF(发布任务!BG19="",-1,发布任务!BG19))</f>
        <v/>
      </c>
      <c r="AI19" s="1" t="str">
        <f>IF($A19="","",IF(发布任务!BH19="",-1,发布任务!BH19))</f>
        <v/>
      </c>
      <c r="AJ19" s="1" t="str">
        <f>IF($A19="","",IF(发布任务!BI19="",-1,发布任务!BI19))</f>
        <v/>
      </c>
      <c r="AK19" s="1" t="str">
        <f>IF($A19="","",IF(发布任务!BJ19="",-1,发布任务!BJ19))</f>
        <v/>
      </c>
      <c r="AL19" s="1" t="str">
        <f>IF($A19="","",IF(发布任务!BK19="",-1,发布任务!BK19))</f>
        <v/>
      </c>
      <c r="AM19" s="1" t="str">
        <f>IF($A19="","",IF(发布任务!BL19="",-1,发布任务!BL19))</f>
        <v/>
      </c>
      <c r="AN19" s="1" t="str">
        <f>IF($A19="","",IF(发布任务!BM19="",-1,发布任务!BM19))</f>
        <v/>
      </c>
      <c r="AO19" s="1" t="str">
        <f>IF($A19="","",IF(发布任务!BN19="",-1,发布任务!BN19))</f>
        <v/>
      </c>
      <c r="AP19" s="1" t="str">
        <f>IF($A19="","",IF(发布任务!BO19="",-1,发布任务!BO19))</f>
        <v/>
      </c>
      <c r="AQ19" s="1" t="str">
        <f>IF($A19="","",IF(发布任务!BP19="",-1,发布任务!BP19))</f>
        <v/>
      </c>
      <c r="AR19" s="1" t="str">
        <f>IF($A19="","",IF(发布任务!BQ19="",-1,发布任务!BQ19))</f>
        <v/>
      </c>
      <c r="AS19" s="1" t="str">
        <f>IF($A19="","",IF(发布任务!BR19="",-1,发布任务!BR19))</f>
        <v/>
      </c>
      <c r="AT19" s="1" t="str">
        <f>IF($A19="","",IF(发布任务!BS19="",-1,发布任务!BS19))</f>
        <v/>
      </c>
      <c r="AU19" s="1" t="str">
        <f>IF($A19="","",IF(发布任务!BT19="",-1,发布任务!BT19))</f>
        <v/>
      </c>
      <c r="AV19" s="1" t="str">
        <f>IF($A19="","",IF(发布任务!BU19="",-1,发布任务!BU19))</f>
        <v/>
      </c>
      <c r="AW19" s="1" t="str">
        <f>IF($A19="","",IF(发布任务!BV19="",-1,发布任务!BV19))</f>
        <v/>
      </c>
      <c r="AX19" s="1" t="str">
        <f>IF($A19="","",IF(发布任务!BW19="",-1,发布任务!BW19))</f>
        <v/>
      </c>
      <c r="AY19" s="1" t="str">
        <f>IF($A19="","",IF(发布任务!BX19="",-1,发布任务!BX19))</f>
        <v/>
      </c>
      <c r="AZ19" s="1" t="str">
        <f>IF($A19="","",IF(发布任务!BY19="",-1,发布任务!BY19))</f>
        <v/>
      </c>
      <c r="BA19" s="1" t="str">
        <f>IF($A19="","",IF(发布任务!BZ19="",-1,发布任务!BZ19))</f>
        <v/>
      </c>
      <c r="BB19" s="1" t="str">
        <f>IF($A19="","",IF(发布任务!CA19="",-1,发布任务!CA19))</f>
        <v/>
      </c>
      <c r="BC19" s="1" t="str">
        <f>IF($A19="","",IF(发布任务!CB19="",-1,发布任务!CB19))</f>
        <v/>
      </c>
      <c r="BD19" s="1" t="str">
        <f>IF($A19="","",IF(发布任务!CC19="",-1,发布任务!CC19))</f>
        <v/>
      </c>
      <c r="BE19" s="1" t="str">
        <f>IF($A19="","",IF(发布任务!CD19="",-1,发布任务!CD19))</f>
        <v/>
      </c>
      <c r="BF19" s="1" t="str">
        <f>IF($A19="","",IF(发布任务!CE19="",-1,发布任务!CE19))</f>
        <v/>
      </c>
      <c r="BG19" s="1" t="str">
        <f>IF($A19="","",IF(发布任务!CF19="",-1,发布任务!CF19))</f>
        <v/>
      </c>
      <c r="BH19" s="1" t="str">
        <f>IF($A19="","",IF(发布任务!CG19="",-1,发布任务!CG19))</f>
        <v/>
      </c>
      <c r="BI19" s="1" t="str">
        <f>IF($A19="","",IF(发布任务!CH19="",-1,发布任务!CH19))</f>
        <v/>
      </c>
      <c r="BJ19" s="1" t="str">
        <f>IF($A19="","",IF(发布任务!CI19="",-1,发布任务!CI19))</f>
        <v/>
      </c>
      <c r="BK19" s="1" t="str">
        <f>IF($A19="","",IF(发布任务!CJ19="",-1,发布任务!CJ19))</f>
        <v/>
      </c>
      <c r="BL19" s="1" t="str">
        <f>IF($A19="","",IF(发布任务!CK19="",-1,发布任务!CK19))</f>
        <v/>
      </c>
      <c r="BM19" s="1" t="str">
        <f>IF($A19="","",IF(发布任务!CL19="",-1,发布任务!CL19))</f>
        <v/>
      </c>
      <c r="BN19" s="1" t="str">
        <f>IF($A19="","",IF(发布任务!CM19="",-1,发布任务!CM19))</f>
        <v/>
      </c>
      <c r="BO19" s="1" t="str">
        <f>IF($A19="","",IF(发布任务!CN19="",-1,发布任务!CN19))</f>
        <v/>
      </c>
      <c r="BP19" s="1" t="str">
        <f>IF($A19="","",IF(发布任务!CO19="",-1,发布任务!CO19))</f>
        <v/>
      </c>
      <c r="BQ19" s="1" t="str">
        <f>IF($A19="","",IF(发布任务!CP19="",-1,发布任务!CP19))</f>
        <v/>
      </c>
      <c r="BR19" s="1" t="str">
        <f>IF($A19="","",IF(发布任务!CQ19="",-1,发布任务!CQ19))</f>
        <v/>
      </c>
      <c r="BS19" s="1" t="str">
        <f>IF($A19="","",IF(发布任务!CR19="",-1,发布任务!CR19))</f>
        <v/>
      </c>
      <c r="BT19" s="1" t="str">
        <f>IF($A19="","",IF(发布任务!CS19="",-1,发布任务!CS19))</f>
        <v/>
      </c>
      <c r="BU19" s="1" t="str">
        <f>IF($A19="","",IF(发布任务!CT19="",-1,发布任务!CT19))</f>
        <v/>
      </c>
      <c r="BV19" s="1" t="str">
        <f>IF($A19="","",IF(发布任务!CU19="",-1,发布任务!CU19))</f>
        <v/>
      </c>
      <c r="BW19" s="1" t="str">
        <f>IF($A19="","",IF(发布任务!CV19="",-1,发布任务!CV19))</f>
        <v/>
      </c>
      <c r="BX19" s="1" t="str">
        <f>IF($A19="","",IF(发布任务!CW19="",-1,发布任务!CW19))</f>
        <v/>
      </c>
      <c r="BY19" s="1" t="str">
        <f>IF($A19="","",IF(发布任务!CX19="",-1,发布任务!CX19))</f>
        <v/>
      </c>
      <c r="BZ19" s="1" t="str">
        <f>IF($A19="","",IF(发布任务!CY19="",-1,发布任务!CY19))</f>
        <v/>
      </c>
      <c r="CA19" s="1" t="str">
        <f>IF($A19="","",IF(发布任务!CZ19="",-1,发布任务!CZ19))</f>
        <v/>
      </c>
      <c r="CB19" s="1" t="str">
        <f>IF($A19="","",IF(发布任务!DA19="",-1,发布任务!DA19))</f>
        <v/>
      </c>
      <c r="CC19" s="1" t="str">
        <f>IF($A19="","",IF(发布任务!DB19="",-1,发布任务!DB19))</f>
        <v/>
      </c>
      <c r="CD19" s="1" t="str">
        <f>IF($A19="","",IF(发布任务!DC19="",-1,发布任务!DC19))</f>
        <v/>
      </c>
      <c r="CE19" s="1" t="str">
        <f>IF($A19="","",IF(发布任务!DD19="",-1,发布任务!DD19))</f>
        <v/>
      </c>
      <c r="CF19" s="1" t="str">
        <f>IF($A19="","",IF(发布任务!DE19="",-1,发布任务!DE19))</f>
        <v/>
      </c>
      <c r="CG19" s="1" t="str">
        <f>IF($A19="","",IF(发布任务!DF19="",-1,发布任务!DF19))</f>
        <v/>
      </c>
      <c r="CH19" s="1" t="str">
        <f>IF($A19="","",IF(发布任务!DG19="",-1,发布任务!DG19))</f>
        <v/>
      </c>
      <c r="CI19" s="1" t="str">
        <f>IF($A19="","",IF(发布任务!DH19="",-1,发布任务!DH19))</f>
        <v/>
      </c>
      <c r="CJ19" s="1" t="str">
        <f>IF($A19="","",IF(发布任务!DI19="",-1,发布任务!DI19))</f>
        <v/>
      </c>
      <c r="CK19" s="1" t="str">
        <f>IF($A19="","",IF(发布任务!DJ19="",-1,发布任务!DJ19))</f>
        <v/>
      </c>
      <c r="CL19" s="1" t="str">
        <f>IF($A19="","",IF(发布任务!DK19="",-1,发布任务!DK19))</f>
        <v/>
      </c>
      <c r="CM19" s="1" t="str">
        <f>IF($A19="","",IF(发布任务!DL19="",-1,发布任务!DL19))</f>
        <v/>
      </c>
      <c r="CN19" s="1" t="str">
        <f>IF($A19="","",IF(发布任务!DM19="",-1,发布任务!DM19))</f>
        <v/>
      </c>
      <c r="CO19" s="1" t="str">
        <f>IF($A19="","",IF(发布任务!DN19="",-1,发布任务!DN19))</f>
        <v/>
      </c>
      <c r="CP19" s="1" t="str">
        <f>IF($A19="","",IF(发布任务!DO19="",-1,发布任务!DO19))</f>
        <v/>
      </c>
      <c r="CQ19" s="1" t="str">
        <f>IF($A19="","",IF(发布任务!DP19="",-1,发布任务!DP19))</f>
        <v/>
      </c>
      <c r="CR19" s="1" t="str">
        <f>IF($A19="","",IF(发布任务!DQ19="",-1,发布任务!DQ19))</f>
        <v/>
      </c>
      <c r="CS19" s="1" t="str">
        <f>IF($A19="","",IF(发布任务!DR19="",-1,发布任务!DR19))</f>
        <v/>
      </c>
      <c r="CT19" s="1" t="str">
        <f>IF($A19="","",IF(发布任务!DS19="",-1,发布任务!DS19))</f>
        <v/>
      </c>
      <c r="CU19" s="1" t="str">
        <f>IF($A19="","",IF(发布任务!DT19="",-1,发布任务!DT19))</f>
        <v/>
      </c>
      <c r="CV19" s="1" t="str">
        <f>IF($A19="","",IF(发布任务!DU19="",-1,发布任务!DU19))</f>
        <v/>
      </c>
      <c r="CW19" s="1" t="str">
        <f>IF($A19="","",IF(发布任务!DV19="",-1,发布任务!DV19))</f>
        <v/>
      </c>
      <c r="CX19" s="1" t="str">
        <f>IF($A19="","",IF(发布任务!DW19="",-1,发布任务!DW19))</f>
        <v/>
      </c>
      <c r="CY19" s="1" t="str">
        <f>IF($A19="","",IF(发布任务!DX19="",-1,发布任务!DX19))</f>
        <v/>
      </c>
      <c r="CZ19" s="1" t="str">
        <f>IF($A19="","",IF(发布任务!DY19="",-1,发布任务!DY19))</f>
        <v/>
      </c>
      <c r="DA19" s="1" t="str">
        <f>IF($A19="","",IF(发布任务!DZ19="",-1,发布任务!DZ19))</f>
        <v/>
      </c>
      <c r="DB19" s="1" t="str">
        <f>IF($A19="","",IF(发布任务!EA19="",-1,发布任务!EA19))</f>
        <v/>
      </c>
      <c r="DC19" s="1" t="str">
        <f>IF($A19="","",IF(发布任务!EB19="",-1,发布任务!EB19))</f>
        <v/>
      </c>
      <c r="DD19" s="1" t="str">
        <f>IF($A19="","",IF(发布任务!EC19="",-1,发布任务!EC19))</f>
        <v/>
      </c>
      <c r="DE19" s="1" t="str">
        <f>IF($A19="","",IF(发布任务!ED19="",-1,发布任务!ED19))</f>
        <v/>
      </c>
      <c r="DF19" s="1" t="str">
        <f>IF($A19="","",IF(发布任务!EE19="",-1,发布任务!EE19))</f>
        <v/>
      </c>
    </row>
    <row r="20" spans="2:110">
      <c r="B20" s="1" t="str">
        <f>IF($A20="","",VLOOKUP(A20,捏造NPC!$A:$R,5,FALSE))</f>
        <v/>
      </c>
      <c r="C20" s="1" t="str">
        <f>IF($A20="","",VLOOKUP(A20,捏造NPC!$A:$R,18,FALSE))</f>
        <v/>
      </c>
      <c r="D20" s="1" t="str">
        <f t="shared" si="0"/>
        <v/>
      </c>
      <c r="E20" s="1" t="str">
        <f t="shared" si="1"/>
        <v/>
      </c>
      <c r="J20" s="1"/>
      <c r="K20" s="1" t="str">
        <f>IF($A20="","",IF(发布任务!AJ20="",-1,发布任务!AJ20))</f>
        <v/>
      </c>
      <c r="L20" s="1" t="str">
        <f>IF($A20="","",IF(发布任务!AK20="",-1,发布任务!AK20))</f>
        <v/>
      </c>
      <c r="M20" s="1" t="str">
        <f>IF($A20="","",IF(发布任务!AL20="",-1,发布任务!AL20))</f>
        <v/>
      </c>
      <c r="N20" s="1" t="str">
        <f>IF($A20="","",IF(发布任务!AM20="",-1,发布任务!AM20))</f>
        <v/>
      </c>
      <c r="O20" s="1" t="str">
        <f>IF($A20="","",IF(发布任务!AN20="",-1,发布任务!AN20))</f>
        <v/>
      </c>
      <c r="P20" s="1" t="str">
        <f>IF($A20="","",IF(发布任务!AO20="",-1,发布任务!AO20))</f>
        <v/>
      </c>
      <c r="Q20" s="1" t="str">
        <f>IF($A20="","",IF(发布任务!AP20="",-1,发布任务!AP20))</f>
        <v/>
      </c>
      <c r="R20" s="1" t="str">
        <f>IF($A20="","",IF(发布任务!AQ20="",-1,发布任务!AQ20))</f>
        <v/>
      </c>
      <c r="S20" s="1" t="str">
        <f>IF($A20="","",IF(发布任务!AR20="",-1,发布任务!AR20))</f>
        <v/>
      </c>
      <c r="T20" s="1" t="str">
        <f>IF($A20="","",IF(发布任务!AS20="",-1,发布任务!AS20))</f>
        <v/>
      </c>
      <c r="U20" s="1" t="str">
        <f>IF($A20="","",IF(发布任务!AT20="",-1,发布任务!AT20))</f>
        <v/>
      </c>
      <c r="V20" s="1" t="str">
        <f>IF($A20="","",IF(发布任务!AU20="",-1,发布任务!AU20))</f>
        <v/>
      </c>
      <c r="W20" s="1" t="str">
        <f>IF($A20="","",IF(发布任务!AV20="",-1,发布任务!AV20))</f>
        <v/>
      </c>
      <c r="X20" s="1" t="str">
        <f>IF($A20="","",IF(发布任务!AW20="",-1,发布任务!AW20))</f>
        <v/>
      </c>
      <c r="Y20" s="1" t="str">
        <f>IF($A20="","",IF(发布任务!AX20="",-1,发布任务!AX20))</f>
        <v/>
      </c>
      <c r="Z20" s="1" t="str">
        <f>IF($A20="","",IF(发布任务!AY20="",-1,发布任务!AY20))</f>
        <v/>
      </c>
      <c r="AA20" s="1" t="str">
        <f>IF($A20="","",IF(发布任务!AZ20="",-1,发布任务!AZ20))</f>
        <v/>
      </c>
      <c r="AB20" s="1" t="str">
        <f>IF($A20="","",IF(发布任务!BA20="",-1,发布任务!BA20))</f>
        <v/>
      </c>
      <c r="AC20" s="1" t="str">
        <f>IF($A20="","",IF(发布任务!BB20="",-1,发布任务!BB20))</f>
        <v/>
      </c>
      <c r="AD20" s="1" t="str">
        <f>IF($A20="","",IF(发布任务!BC20="",-1,发布任务!BC20))</f>
        <v/>
      </c>
      <c r="AE20" s="1" t="str">
        <f>IF($A20="","",IF(发布任务!BD20="",-1,发布任务!BD20))</f>
        <v/>
      </c>
      <c r="AF20" s="1" t="str">
        <f>IF($A20="","",IF(发布任务!BE20="",-1,发布任务!BE20))</f>
        <v/>
      </c>
      <c r="AG20" s="1" t="str">
        <f>IF($A20="","",IF(发布任务!BF20="",-1,发布任务!BF20))</f>
        <v/>
      </c>
      <c r="AH20" s="1" t="str">
        <f>IF($A20="","",IF(发布任务!BG20="",-1,发布任务!BG20))</f>
        <v/>
      </c>
      <c r="AI20" s="1" t="str">
        <f>IF($A20="","",IF(发布任务!BH20="",-1,发布任务!BH20))</f>
        <v/>
      </c>
      <c r="AJ20" s="1" t="str">
        <f>IF($A20="","",IF(发布任务!BI20="",-1,发布任务!BI20))</f>
        <v/>
      </c>
      <c r="AK20" s="1" t="str">
        <f>IF($A20="","",IF(发布任务!BJ20="",-1,发布任务!BJ20))</f>
        <v/>
      </c>
      <c r="AL20" s="1" t="str">
        <f>IF($A20="","",IF(发布任务!BK20="",-1,发布任务!BK20))</f>
        <v/>
      </c>
      <c r="AM20" s="1" t="str">
        <f>IF($A20="","",IF(发布任务!BL20="",-1,发布任务!BL20))</f>
        <v/>
      </c>
      <c r="AN20" s="1" t="str">
        <f>IF($A20="","",IF(发布任务!BM20="",-1,发布任务!BM20))</f>
        <v/>
      </c>
      <c r="AO20" s="1" t="str">
        <f>IF($A20="","",IF(发布任务!BN20="",-1,发布任务!BN20))</f>
        <v/>
      </c>
      <c r="AP20" s="1" t="str">
        <f>IF($A20="","",IF(发布任务!BO20="",-1,发布任务!BO20))</f>
        <v/>
      </c>
      <c r="AQ20" s="1" t="str">
        <f>IF($A20="","",IF(发布任务!BP20="",-1,发布任务!BP20))</f>
        <v/>
      </c>
      <c r="AR20" s="1" t="str">
        <f>IF($A20="","",IF(发布任务!BQ20="",-1,发布任务!BQ20))</f>
        <v/>
      </c>
      <c r="AS20" s="1" t="str">
        <f>IF($A20="","",IF(发布任务!BR20="",-1,发布任务!BR20))</f>
        <v/>
      </c>
      <c r="AT20" s="1" t="str">
        <f>IF($A20="","",IF(发布任务!BS20="",-1,发布任务!BS20))</f>
        <v/>
      </c>
      <c r="AU20" s="1" t="str">
        <f>IF($A20="","",IF(发布任务!BT20="",-1,发布任务!BT20))</f>
        <v/>
      </c>
      <c r="AV20" s="1" t="str">
        <f>IF($A20="","",IF(发布任务!BU20="",-1,发布任务!BU20))</f>
        <v/>
      </c>
      <c r="AW20" s="1" t="str">
        <f>IF($A20="","",IF(发布任务!BV20="",-1,发布任务!BV20))</f>
        <v/>
      </c>
      <c r="AX20" s="1" t="str">
        <f>IF($A20="","",IF(发布任务!BW20="",-1,发布任务!BW20))</f>
        <v/>
      </c>
      <c r="AY20" s="1" t="str">
        <f>IF($A20="","",IF(发布任务!BX20="",-1,发布任务!BX20))</f>
        <v/>
      </c>
      <c r="AZ20" s="1" t="str">
        <f>IF($A20="","",IF(发布任务!BY20="",-1,发布任务!BY20))</f>
        <v/>
      </c>
      <c r="BA20" s="1" t="str">
        <f>IF($A20="","",IF(发布任务!BZ20="",-1,发布任务!BZ20))</f>
        <v/>
      </c>
      <c r="BB20" s="1" t="str">
        <f>IF($A20="","",IF(发布任务!CA20="",-1,发布任务!CA20))</f>
        <v/>
      </c>
      <c r="BC20" s="1" t="str">
        <f>IF($A20="","",IF(发布任务!CB20="",-1,发布任务!CB20))</f>
        <v/>
      </c>
      <c r="BD20" s="1" t="str">
        <f>IF($A20="","",IF(发布任务!CC20="",-1,发布任务!CC20))</f>
        <v/>
      </c>
      <c r="BE20" s="1" t="str">
        <f>IF($A20="","",IF(发布任务!CD20="",-1,发布任务!CD20))</f>
        <v/>
      </c>
      <c r="BF20" s="1" t="str">
        <f>IF($A20="","",IF(发布任务!CE20="",-1,发布任务!CE20))</f>
        <v/>
      </c>
      <c r="BG20" s="1" t="str">
        <f>IF($A20="","",IF(发布任务!CF20="",-1,发布任务!CF20))</f>
        <v/>
      </c>
      <c r="BH20" s="1" t="str">
        <f>IF($A20="","",IF(发布任务!CG20="",-1,发布任务!CG20))</f>
        <v/>
      </c>
      <c r="BI20" s="1" t="str">
        <f>IF($A20="","",IF(发布任务!CH20="",-1,发布任务!CH20))</f>
        <v/>
      </c>
      <c r="BJ20" s="1" t="str">
        <f>IF($A20="","",IF(发布任务!CI20="",-1,发布任务!CI20))</f>
        <v/>
      </c>
      <c r="BK20" s="1" t="str">
        <f>IF($A20="","",IF(发布任务!CJ20="",-1,发布任务!CJ20))</f>
        <v/>
      </c>
      <c r="BL20" s="1" t="str">
        <f>IF($A20="","",IF(发布任务!CK20="",-1,发布任务!CK20))</f>
        <v/>
      </c>
      <c r="BM20" s="1" t="str">
        <f>IF($A20="","",IF(发布任务!CL20="",-1,发布任务!CL20))</f>
        <v/>
      </c>
      <c r="BN20" s="1" t="str">
        <f>IF($A20="","",IF(发布任务!CM20="",-1,发布任务!CM20))</f>
        <v/>
      </c>
      <c r="BO20" s="1" t="str">
        <f>IF($A20="","",IF(发布任务!CN20="",-1,发布任务!CN20))</f>
        <v/>
      </c>
      <c r="BP20" s="1" t="str">
        <f>IF($A20="","",IF(发布任务!CO20="",-1,发布任务!CO20))</f>
        <v/>
      </c>
      <c r="BQ20" s="1" t="str">
        <f>IF($A20="","",IF(发布任务!CP20="",-1,发布任务!CP20))</f>
        <v/>
      </c>
      <c r="BR20" s="1" t="str">
        <f>IF($A20="","",IF(发布任务!CQ20="",-1,发布任务!CQ20))</f>
        <v/>
      </c>
      <c r="BS20" s="1" t="str">
        <f>IF($A20="","",IF(发布任务!CR20="",-1,发布任务!CR20))</f>
        <v/>
      </c>
      <c r="BT20" s="1" t="str">
        <f>IF($A20="","",IF(发布任务!CS20="",-1,发布任务!CS20))</f>
        <v/>
      </c>
      <c r="BU20" s="1" t="str">
        <f>IF($A20="","",IF(发布任务!CT20="",-1,发布任务!CT20))</f>
        <v/>
      </c>
      <c r="BV20" s="1" t="str">
        <f>IF($A20="","",IF(发布任务!CU20="",-1,发布任务!CU20))</f>
        <v/>
      </c>
      <c r="BW20" s="1" t="str">
        <f>IF($A20="","",IF(发布任务!CV20="",-1,发布任务!CV20))</f>
        <v/>
      </c>
      <c r="BX20" s="1" t="str">
        <f>IF($A20="","",IF(发布任务!CW20="",-1,发布任务!CW20))</f>
        <v/>
      </c>
      <c r="BY20" s="1" t="str">
        <f>IF($A20="","",IF(发布任务!CX20="",-1,发布任务!CX20))</f>
        <v/>
      </c>
      <c r="BZ20" s="1" t="str">
        <f>IF($A20="","",IF(发布任务!CY20="",-1,发布任务!CY20))</f>
        <v/>
      </c>
      <c r="CA20" s="1" t="str">
        <f>IF($A20="","",IF(发布任务!CZ20="",-1,发布任务!CZ20))</f>
        <v/>
      </c>
      <c r="CB20" s="1" t="str">
        <f>IF($A20="","",IF(发布任务!DA20="",-1,发布任务!DA20))</f>
        <v/>
      </c>
      <c r="CC20" s="1" t="str">
        <f>IF($A20="","",IF(发布任务!DB20="",-1,发布任务!DB20))</f>
        <v/>
      </c>
      <c r="CD20" s="1" t="str">
        <f>IF($A20="","",IF(发布任务!DC20="",-1,发布任务!DC20))</f>
        <v/>
      </c>
      <c r="CE20" s="1" t="str">
        <f>IF($A20="","",IF(发布任务!DD20="",-1,发布任务!DD20))</f>
        <v/>
      </c>
      <c r="CF20" s="1" t="str">
        <f>IF($A20="","",IF(发布任务!DE20="",-1,发布任务!DE20))</f>
        <v/>
      </c>
      <c r="CG20" s="1" t="str">
        <f>IF($A20="","",IF(发布任务!DF20="",-1,发布任务!DF20))</f>
        <v/>
      </c>
      <c r="CH20" s="1" t="str">
        <f>IF($A20="","",IF(发布任务!DG20="",-1,发布任务!DG20))</f>
        <v/>
      </c>
      <c r="CI20" s="1" t="str">
        <f>IF($A20="","",IF(发布任务!DH20="",-1,发布任务!DH20))</f>
        <v/>
      </c>
      <c r="CJ20" s="1" t="str">
        <f>IF($A20="","",IF(发布任务!DI20="",-1,发布任务!DI20))</f>
        <v/>
      </c>
      <c r="CK20" s="1" t="str">
        <f>IF($A20="","",IF(发布任务!DJ20="",-1,发布任务!DJ20))</f>
        <v/>
      </c>
      <c r="CL20" s="1" t="str">
        <f>IF($A20="","",IF(发布任务!DK20="",-1,发布任务!DK20))</f>
        <v/>
      </c>
      <c r="CM20" s="1" t="str">
        <f>IF($A20="","",IF(发布任务!DL20="",-1,发布任务!DL20))</f>
        <v/>
      </c>
      <c r="CN20" s="1" t="str">
        <f>IF($A20="","",IF(发布任务!DM20="",-1,发布任务!DM20))</f>
        <v/>
      </c>
      <c r="CO20" s="1" t="str">
        <f>IF($A20="","",IF(发布任务!DN20="",-1,发布任务!DN20))</f>
        <v/>
      </c>
      <c r="CP20" s="1" t="str">
        <f>IF($A20="","",IF(发布任务!DO20="",-1,发布任务!DO20))</f>
        <v/>
      </c>
      <c r="CQ20" s="1" t="str">
        <f>IF($A20="","",IF(发布任务!DP20="",-1,发布任务!DP20))</f>
        <v/>
      </c>
      <c r="CR20" s="1" t="str">
        <f>IF($A20="","",IF(发布任务!DQ20="",-1,发布任务!DQ20))</f>
        <v/>
      </c>
      <c r="CS20" s="1" t="str">
        <f>IF($A20="","",IF(发布任务!DR20="",-1,发布任务!DR20))</f>
        <v/>
      </c>
      <c r="CT20" s="1" t="str">
        <f>IF($A20="","",IF(发布任务!DS20="",-1,发布任务!DS20))</f>
        <v/>
      </c>
      <c r="CU20" s="1" t="str">
        <f>IF($A20="","",IF(发布任务!DT20="",-1,发布任务!DT20))</f>
        <v/>
      </c>
      <c r="CV20" s="1" t="str">
        <f>IF($A20="","",IF(发布任务!DU20="",-1,发布任务!DU20))</f>
        <v/>
      </c>
      <c r="CW20" s="1" t="str">
        <f>IF($A20="","",IF(发布任务!DV20="",-1,发布任务!DV20))</f>
        <v/>
      </c>
      <c r="CX20" s="1" t="str">
        <f>IF($A20="","",IF(发布任务!DW20="",-1,发布任务!DW20))</f>
        <v/>
      </c>
      <c r="CY20" s="1" t="str">
        <f>IF($A20="","",IF(发布任务!DX20="",-1,发布任务!DX20))</f>
        <v/>
      </c>
      <c r="CZ20" s="1" t="str">
        <f>IF($A20="","",IF(发布任务!DY20="",-1,发布任务!DY20))</f>
        <v/>
      </c>
      <c r="DA20" s="1" t="str">
        <f>IF($A20="","",IF(发布任务!DZ20="",-1,发布任务!DZ20))</f>
        <v/>
      </c>
      <c r="DB20" s="1" t="str">
        <f>IF($A20="","",IF(发布任务!EA20="",-1,发布任务!EA20))</f>
        <v/>
      </c>
      <c r="DC20" s="1" t="str">
        <f>IF($A20="","",IF(发布任务!EB20="",-1,发布任务!EB20))</f>
        <v/>
      </c>
      <c r="DD20" s="1" t="str">
        <f>IF($A20="","",IF(发布任务!EC20="",-1,发布任务!EC20))</f>
        <v/>
      </c>
      <c r="DE20" s="1" t="str">
        <f>IF($A20="","",IF(发布任务!ED20="",-1,发布任务!ED20))</f>
        <v/>
      </c>
      <c r="DF20" s="1" t="str">
        <f>IF($A20="","",IF(发布任务!EE20="",-1,发布任务!EE20))</f>
        <v/>
      </c>
    </row>
    <row r="21" spans="2:110">
      <c r="B21" s="1" t="str">
        <f>IF($A21="","",VLOOKUP(A21,捏造NPC!$A:$R,5,FALSE))</f>
        <v/>
      </c>
      <c r="C21" s="1" t="str">
        <f>IF($A21="","",VLOOKUP(A21,捏造NPC!$A:$R,18,FALSE))</f>
        <v/>
      </c>
      <c r="D21" s="1" t="str">
        <f t="shared" si="0"/>
        <v/>
      </c>
      <c r="E21" s="1" t="str">
        <f t="shared" si="1"/>
        <v/>
      </c>
      <c r="J21" s="1"/>
      <c r="K21" s="1" t="str">
        <f>IF($A21="","",IF(发布任务!AJ21="",-1,发布任务!AJ21))</f>
        <v/>
      </c>
      <c r="L21" s="1" t="str">
        <f>IF($A21="","",IF(发布任务!AK21="",-1,发布任务!AK21))</f>
        <v/>
      </c>
      <c r="M21" s="1" t="str">
        <f>IF($A21="","",IF(发布任务!AL21="",-1,发布任务!AL21))</f>
        <v/>
      </c>
      <c r="N21" s="1" t="str">
        <f>IF($A21="","",IF(发布任务!AM21="",-1,发布任务!AM21))</f>
        <v/>
      </c>
      <c r="O21" s="1" t="str">
        <f>IF($A21="","",IF(发布任务!AN21="",-1,发布任务!AN21))</f>
        <v/>
      </c>
      <c r="P21" s="1" t="str">
        <f>IF($A21="","",IF(发布任务!AO21="",-1,发布任务!AO21))</f>
        <v/>
      </c>
      <c r="Q21" s="1" t="str">
        <f>IF($A21="","",IF(发布任务!AP21="",-1,发布任务!AP21))</f>
        <v/>
      </c>
      <c r="R21" s="1" t="str">
        <f>IF($A21="","",IF(发布任务!AQ21="",-1,发布任务!AQ21))</f>
        <v/>
      </c>
      <c r="S21" s="1" t="str">
        <f>IF($A21="","",IF(发布任务!AR21="",-1,发布任务!AR21))</f>
        <v/>
      </c>
      <c r="T21" s="1" t="str">
        <f>IF($A21="","",IF(发布任务!AS21="",-1,发布任务!AS21))</f>
        <v/>
      </c>
      <c r="U21" s="1" t="str">
        <f>IF($A21="","",IF(发布任务!AT21="",-1,发布任务!AT21))</f>
        <v/>
      </c>
      <c r="V21" s="1" t="str">
        <f>IF($A21="","",IF(发布任务!AU21="",-1,发布任务!AU21))</f>
        <v/>
      </c>
      <c r="W21" s="1" t="str">
        <f>IF($A21="","",IF(发布任务!AV21="",-1,发布任务!AV21))</f>
        <v/>
      </c>
      <c r="X21" s="1" t="str">
        <f>IF($A21="","",IF(发布任务!AW21="",-1,发布任务!AW21))</f>
        <v/>
      </c>
      <c r="Y21" s="1" t="str">
        <f>IF($A21="","",IF(发布任务!AX21="",-1,发布任务!AX21))</f>
        <v/>
      </c>
      <c r="Z21" s="1" t="str">
        <f>IF($A21="","",IF(发布任务!AY21="",-1,发布任务!AY21))</f>
        <v/>
      </c>
      <c r="AA21" s="1" t="str">
        <f>IF($A21="","",IF(发布任务!AZ21="",-1,发布任务!AZ21))</f>
        <v/>
      </c>
      <c r="AB21" s="1" t="str">
        <f>IF($A21="","",IF(发布任务!BA21="",-1,发布任务!BA21))</f>
        <v/>
      </c>
      <c r="AC21" s="1" t="str">
        <f>IF($A21="","",IF(发布任务!BB21="",-1,发布任务!BB21))</f>
        <v/>
      </c>
      <c r="AD21" s="1" t="str">
        <f>IF($A21="","",IF(发布任务!BC21="",-1,发布任务!BC21))</f>
        <v/>
      </c>
      <c r="AE21" s="1" t="str">
        <f>IF($A21="","",IF(发布任务!BD21="",-1,发布任务!BD21))</f>
        <v/>
      </c>
      <c r="AF21" s="1" t="str">
        <f>IF($A21="","",IF(发布任务!BE21="",-1,发布任务!BE21))</f>
        <v/>
      </c>
      <c r="AG21" s="1" t="str">
        <f>IF($A21="","",IF(发布任务!BF21="",-1,发布任务!BF21))</f>
        <v/>
      </c>
      <c r="AH21" s="1" t="str">
        <f>IF($A21="","",IF(发布任务!BG21="",-1,发布任务!BG21))</f>
        <v/>
      </c>
      <c r="AI21" s="1" t="str">
        <f>IF($A21="","",IF(发布任务!BH21="",-1,发布任务!BH21))</f>
        <v/>
      </c>
      <c r="AJ21" s="1" t="str">
        <f>IF($A21="","",IF(发布任务!BI21="",-1,发布任务!BI21))</f>
        <v/>
      </c>
      <c r="AK21" s="1" t="str">
        <f>IF($A21="","",IF(发布任务!BJ21="",-1,发布任务!BJ21))</f>
        <v/>
      </c>
      <c r="AL21" s="1" t="str">
        <f>IF($A21="","",IF(发布任务!BK21="",-1,发布任务!BK21))</f>
        <v/>
      </c>
      <c r="AM21" s="1" t="str">
        <f>IF($A21="","",IF(发布任务!BL21="",-1,发布任务!BL21))</f>
        <v/>
      </c>
      <c r="AN21" s="1" t="str">
        <f>IF($A21="","",IF(发布任务!BM21="",-1,发布任务!BM21))</f>
        <v/>
      </c>
      <c r="AO21" s="1" t="str">
        <f>IF($A21="","",IF(发布任务!BN21="",-1,发布任务!BN21))</f>
        <v/>
      </c>
      <c r="AP21" s="1" t="str">
        <f>IF($A21="","",IF(发布任务!BO21="",-1,发布任务!BO21))</f>
        <v/>
      </c>
      <c r="AQ21" s="1" t="str">
        <f>IF($A21="","",IF(发布任务!BP21="",-1,发布任务!BP21))</f>
        <v/>
      </c>
      <c r="AR21" s="1" t="str">
        <f>IF($A21="","",IF(发布任务!BQ21="",-1,发布任务!BQ21))</f>
        <v/>
      </c>
      <c r="AS21" s="1" t="str">
        <f>IF($A21="","",IF(发布任务!BR21="",-1,发布任务!BR21))</f>
        <v/>
      </c>
      <c r="AT21" s="1" t="str">
        <f>IF($A21="","",IF(发布任务!BS21="",-1,发布任务!BS21))</f>
        <v/>
      </c>
      <c r="AU21" s="1" t="str">
        <f>IF($A21="","",IF(发布任务!BT21="",-1,发布任务!BT21))</f>
        <v/>
      </c>
      <c r="AV21" s="1" t="str">
        <f>IF($A21="","",IF(发布任务!BU21="",-1,发布任务!BU21))</f>
        <v/>
      </c>
      <c r="AW21" s="1" t="str">
        <f>IF($A21="","",IF(发布任务!BV21="",-1,发布任务!BV21))</f>
        <v/>
      </c>
      <c r="AX21" s="1" t="str">
        <f>IF($A21="","",IF(发布任务!BW21="",-1,发布任务!BW21))</f>
        <v/>
      </c>
      <c r="AY21" s="1" t="str">
        <f>IF($A21="","",IF(发布任务!BX21="",-1,发布任务!BX21))</f>
        <v/>
      </c>
      <c r="AZ21" s="1" t="str">
        <f>IF($A21="","",IF(发布任务!BY21="",-1,发布任务!BY21))</f>
        <v/>
      </c>
      <c r="BA21" s="1" t="str">
        <f>IF($A21="","",IF(发布任务!BZ21="",-1,发布任务!BZ21))</f>
        <v/>
      </c>
      <c r="BB21" s="1" t="str">
        <f>IF($A21="","",IF(发布任务!CA21="",-1,发布任务!CA21))</f>
        <v/>
      </c>
      <c r="BC21" s="1" t="str">
        <f>IF($A21="","",IF(发布任务!CB21="",-1,发布任务!CB21))</f>
        <v/>
      </c>
      <c r="BD21" s="1" t="str">
        <f>IF($A21="","",IF(发布任务!CC21="",-1,发布任务!CC21))</f>
        <v/>
      </c>
      <c r="BE21" s="1" t="str">
        <f>IF($A21="","",IF(发布任务!CD21="",-1,发布任务!CD21))</f>
        <v/>
      </c>
      <c r="BF21" s="1" t="str">
        <f>IF($A21="","",IF(发布任务!CE21="",-1,发布任务!CE21))</f>
        <v/>
      </c>
      <c r="BG21" s="1" t="str">
        <f>IF($A21="","",IF(发布任务!CF21="",-1,发布任务!CF21))</f>
        <v/>
      </c>
      <c r="BH21" s="1" t="str">
        <f>IF($A21="","",IF(发布任务!CG21="",-1,发布任务!CG21))</f>
        <v/>
      </c>
      <c r="BI21" s="1" t="str">
        <f>IF($A21="","",IF(发布任务!CH21="",-1,发布任务!CH21))</f>
        <v/>
      </c>
      <c r="BJ21" s="1" t="str">
        <f>IF($A21="","",IF(发布任务!CI21="",-1,发布任务!CI21))</f>
        <v/>
      </c>
      <c r="BK21" s="1" t="str">
        <f>IF($A21="","",IF(发布任务!CJ21="",-1,发布任务!CJ21))</f>
        <v/>
      </c>
      <c r="BL21" s="1" t="str">
        <f>IF($A21="","",IF(发布任务!CK21="",-1,发布任务!CK21))</f>
        <v/>
      </c>
      <c r="BM21" s="1" t="str">
        <f>IF($A21="","",IF(发布任务!CL21="",-1,发布任务!CL21))</f>
        <v/>
      </c>
      <c r="BN21" s="1" t="str">
        <f>IF($A21="","",IF(发布任务!CM21="",-1,发布任务!CM21))</f>
        <v/>
      </c>
      <c r="BO21" s="1" t="str">
        <f>IF($A21="","",IF(发布任务!CN21="",-1,发布任务!CN21))</f>
        <v/>
      </c>
      <c r="BP21" s="1" t="str">
        <f>IF($A21="","",IF(发布任务!CO21="",-1,发布任务!CO21))</f>
        <v/>
      </c>
      <c r="BQ21" s="1" t="str">
        <f>IF($A21="","",IF(发布任务!CP21="",-1,发布任务!CP21))</f>
        <v/>
      </c>
      <c r="BR21" s="1" t="str">
        <f>IF($A21="","",IF(发布任务!CQ21="",-1,发布任务!CQ21))</f>
        <v/>
      </c>
      <c r="BS21" s="1" t="str">
        <f>IF($A21="","",IF(发布任务!CR21="",-1,发布任务!CR21))</f>
        <v/>
      </c>
      <c r="BT21" s="1" t="str">
        <f>IF($A21="","",IF(发布任务!CS21="",-1,发布任务!CS21))</f>
        <v/>
      </c>
      <c r="BU21" s="1" t="str">
        <f>IF($A21="","",IF(发布任务!CT21="",-1,发布任务!CT21))</f>
        <v/>
      </c>
      <c r="BV21" s="1" t="str">
        <f>IF($A21="","",IF(发布任务!CU21="",-1,发布任务!CU21))</f>
        <v/>
      </c>
      <c r="BW21" s="1" t="str">
        <f>IF($A21="","",IF(发布任务!CV21="",-1,发布任务!CV21))</f>
        <v/>
      </c>
      <c r="BX21" s="1" t="str">
        <f>IF($A21="","",IF(发布任务!CW21="",-1,发布任务!CW21))</f>
        <v/>
      </c>
      <c r="BY21" s="1" t="str">
        <f>IF($A21="","",IF(发布任务!CX21="",-1,发布任务!CX21))</f>
        <v/>
      </c>
      <c r="BZ21" s="1" t="str">
        <f>IF($A21="","",IF(发布任务!CY21="",-1,发布任务!CY21))</f>
        <v/>
      </c>
      <c r="CA21" s="1" t="str">
        <f>IF($A21="","",IF(发布任务!CZ21="",-1,发布任务!CZ21))</f>
        <v/>
      </c>
      <c r="CB21" s="1" t="str">
        <f>IF($A21="","",IF(发布任务!DA21="",-1,发布任务!DA21))</f>
        <v/>
      </c>
      <c r="CC21" s="1" t="str">
        <f>IF($A21="","",IF(发布任务!DB21="",-1,发布任务!DB21))</f>
        <v/>
      </c>
      <c r="CD21" s="1" t="str">
        <f>IF($A21="","",IF(发布任务!DC21="",-1,发布任务!DC21))</f>
        <v/>
      </c>
      <c r="CE21" s="1" t="str">
        <f>IF($A21="","",IF(发布任务!DD21="",-1,发布任务!DD21))</f>
        <v/>
      </c>
      <c r="CF21" s="1" t="str">
        <f>IF($A21="","",IF(发布任务!DE21="",-1,发布任务!DE21))</f>
        <v/>
      </c>
      <c r="CG21" s="1" t="str">
        <f>IF($A21="","",IF(发布任务!DF21="",-1,发布任务!DF21))</f>
        <v/>
      </c>
      <c r="CH21" s="1" t="str">
        <f>IF($A21="","",IF(发布任务!DG21="",-1,发布任务!DG21))</f>
        <v/>
      </c>
      <c r="CI21" s="1" t="str">
        <f>IF($A21="","",IF(发布任务!DH21="",-1,发布任务!DH21))</f>
        <v/>
      </c>
      <c r="CJ21" s="1" t="str">
        <f>IF($A21="","",IF(发布任务!DI21="",-1,发布任务!DI21))</f>
        <v/>
      </c>
      <c r="CK21" s="1" t="str">
        <f>IF($A21="","",IF(发布任务!DJ21="",-1,发布任务!DJ21))</f>
        <v/>
      </c>
      <c r="CL21" s="1" t="str">
        <f>IF($A21="","",IF(发布任务!DK21="",-1,发布任务!DK21))</f>
        <v/>
      </c>
      <c r="CM21" s="1" t="str">
        <f>IF($A21="","",IF(发布任务!DL21="",-1,发布任务!DL21))</f>
        <v/>
      </c>
      <c r="CN21" s="1" t="str">
        <f>IF($A21="","",IF(发布任务!DM21="",-1,发布任务!DM21))</f>
        <v/>
      </c>
      <c r="CO21" s="1" t="str">
        <f>IF($A21="","",IF(发布任务!DN21="",-1,发布任务!DN21))</f>
        <v/>
      </c>
      <c r="CP21" s="1" t="str">
        <f>IF($A21="","",IF(发布任务!DO21="",-1,发布任务!DO21))</f>
        <v/>
      </c>
      <c r="CQ21" s="1" t="str">
        <f>IF($A21="","",IF(发布任务!DP21="",-1,发布任务!DP21))</f>
        <v/>
      </c>
      <c r="CR21" s="1" t="str">
        <f>IF($A21="","",IF(发布任务!DQ21="",-1,发布任务!DQ21))</f>
        <v/>
      </c>
      <c r="CS21" s="1" t="str">
        <f>IF($A21="","",IF(发布任务!DR21="",-1,发布任务!DR21))</f>
        <v/>
      </c>
      <c r="CT21" s="1" t="str">
        <f>IF($A21="","",IF(发布任务!DS21="",-1,发布任务!DS21))</f>
        <v/>
      </c>
      <c r="CU21" s="1" t="str">
        <f>IF($A21="","",IF(发布任务!DT21="",-1,发布任务!DT21))</f>
        <v/>
      </c>
      <c r="CV21" s="1" t="str">
        <f>IF($A21="","",IF(发布任务!DU21="",-1,发布任务!DU21))</f>
        <v/>
      </c>
      <c r="CW21" s="1" t="str">
        <f>IF($A21="","",IF(发布任务!DV21="",-1,发布任务!DV21))</f>
        <v/>
      </c>
      <c r="CX21" s="1" t="str">
        <f>IF($A21="","",IF(发布任务!DW21="",-1,发布任务!DW21))</f>
        <v/>
      </c>
      <c r="CY21" s="1" t="str">
        <f>IF($A21="","",IF(发布任务!DX21="",-1,发布任务!DX21))</f>
        <v/>
      </c>
      <c r="CZ21" s="1" t="str">
        <f>IF($A21="","",IF(发布任务!DY21="",-1,发布任务!DY21))</f>
        <v/>
      </c>
      <c r="DA21" s="1" t="str">
        <f>IF($A21="","",IF(发布任务!DZ21="",-1,发布任务!DZ21))</f>
        <v/>
      </c>
      <c r="DB21" s="1" t="str">
        <f>IF($A21="","",IF(发布任务!EA21="",-1,发布任务!EA21))</f>
        <v/>
      </c>
      <c r="DC21" s="1" t="str">
        <f>IF($A21="","",IF(发布任务!EB21="",-1,发布任务!EB21))</f>
        <v/>
      </c>
      <c r="DD21" s="1" t="str">
        <f>IF($A21="","",IF(发布任务!EC21="",-1,发布任务!EC21))</f>
        <v/>
      </c>
      <c r="DE21" s="1" t="str">
        <f>IF($A21="","",IF(发布任务!ED21="",-1,发布任务!ED21))</f>
        <v/>
      </c>
      <c r="DF21" s="1" t="str">
        <f>IF($A21="","",IF(发布任务!EE21="",-1,发布任务!EE21))</f>
        <v/>
      </c>
    </row>
    <row r="22" spans="2:110">
      <c r="B22" s="1" t="str">
        <f>IF($A22="","",VLOOKUP(A22,捏造NPC!$A:$R,5,FALSE))</f>
        <v/>
      </c>
      <c r="C22" s="1" t="str">
        <f>IF($A22="","",VLOOKUP(A22,捏造NPC!$A:$R,18,FALSE))</f>
        <v/>
      </c>
      <c r="D22" s="1" t="str">
        <f t="shared" si="0"/>
        <v/>
      </c>
      <c r="E22" s="1" t="str">
        <f t="shared" si="1"/>
        <v/>
      </c>
      <c r="J22" s="1"/>
      <c r="K22" s="1" t="str">
        <f>IF($A22="","",IF(发布任务!AJ22="",-1,发布任务!AJ22))</f>
        <v/>
      </c>
      <c r="L22" s="1" t="str">
        <f>IF($A22="","",IF(发布任务!AK22="",-1,发布任务!AK22))</f>
        <v/>
      </c>
      <c r="M22" s="1" t="str">
        <f>IF($A22="","",IF(发布任务!AL22="",-1,发布任务!AL22))</f>
        <v/>
      </c>
      <c r="N22" s="1" t="str">
        <f>IF($A22="","",IF(发布任务!AM22="",-1,发布任务!AM22))</f>
        <v/>
      </c>
      <c r="O22" s="1" t="str">
        <f>IF($A22="","",IF(发布任务!AN22="",-1,发布任务!AN22))</f>
        <v/>
      </c>
      <c r="P22" s="1" t="str">
        <f>IF($A22="","",IF(发布任务!AO22="",-1,发布任务!AO22))</f>
        <v/>
      </c>
      <c r="Q22" s="1" t="str">
        <f>IF($A22="","",IF(发布任务!AP22="",-1,发布任务!AP22))</f>
        <v/>
      </c>
      <c r="R22" s="1" t="str">
        <f>IF($A22="","",IF(发布任务!AQ22="",-1,发布任务!AQ22))</f>
        <v/>
      </c>
      <c r="S22" s="1" t="str">
        <f>IF($A22="","",IF(发布任务!AR22="",-1,发布任务!AR22))</f>
        <v/>
      </c>
      <c r="T22" s="1" t="str">
        <f>IF($A22="","",IF(发布任务!AS22="",-1,发布任务!AS22))</f>
        <v/>
      </c>
      <c r="U22" s="1" t="str">
        <f>IF($A22="","",IF(发布任务!AT22="",-1,发布任务!AT22))</f>
        <v/>
      </c>
      <c r="V22" s="1" t="str">
        <f>IF($A22="","",IF(发布任务!AU22="",-1,发布任务!AU22))</f>
        <v/>
      </c>
      <c r="W22" s="1" t="str">
        <f>IF($A22="","",IF(发布任务!AV22="",-1,发布任务!AV22))</f>
        <v/>
      </c>
      <c r="X22" s="1" t="str">
        <f>IF($A22="","",IF(发布任务!AW22="",-1,发布任务!AW22))</f>
        <v/>
      </c>
      <c r="Y22" s="1" t="str">
        <f>IF($A22="","",IF(发布任务!AX22="",-1,发布任务!AX22))</f>
        <v/>
      </c>
      <c r="Z22" s="1" t="str">
        <f>IF($A22="","",IF(发布任务!AY22="",-1,发布任务!AY22))</f>
        <v/>
      </c>
      <c r="AA22" s="1" t="str">
        <f>IF($A22="","",IF(发布任务!AZ22="",-1,发布任务!AZ22))</f>
        <v/>
      </c>
      <c r="AB22" s="1" t="str">
        <f>IF($A22="","",IF(发布任务!BA22="",-1,发布任务!BA22))</f>
        <v/>
      </c>
      <c r="AC22" s="1" t="str">
        <f>IF($A22="","",IF(发布任务!BB22="",-1,发布任务!BB22))</f>
        <v/>
      </c>
      <c r="AD22" s="1" t="str">
        <f>IF($A22="","",IF(发布任务!BC22="",-1,发布任务!BC22))</f>
        <v/>
      </c>
      <c r="AE22" s="1" t="str">
        <f>IF($A22="","",IF(发布任务!BD22="",-1,发布任务!BD22))</f>
        <v/>
      </c>
      <c r="AF22" s="1" t="str">
        <f>IF($A22="","",IF(发布任务!BE22="",-1,发布任务!BE22))</f>
        <v/>
      </c>
      <c r="AG22" s="1" t="str">
        <f>IF($A22="","",IF(发布任务!BF22="",-1,发布任务!BF22))</f>
        <v/>
      </c>
      <c r="AH22" s="1" t="str">
        <f>IF($A22="","",IF(发布任务!BG22="",-1,发布任务!BG22))</f>
        <v/>
      </c>
      <c r="AI22" s="1" t="str">
        <f>IF($A22="","",IF(发布任务!BH22="",-1,发布任务!BH22))</f>
        <v/>
      </c>
      <c r="AJ22" s="1" t="str">
        <f>IF($A22="","",IF(发布任务!BI22="",-1,发布任务!BI22))</f>
        <v/>
      </c>
      <c r="AK22" s="1" t="str">
        <f>IF($A22="","",IF(发布任务!BJ22="",-1,发布任务!BJ22))</f>
        <v/>
      </c>
      <c r="AL22" s="1" t="str">
        <f>IF($A22="","",IF(发布任务!BK22="",-1,发布任务!BK22))</f>
        <v/>
      </c>
      <c r="AM22" s="1" t="str">
        <f>IF($A22="","",IF(发布任务!BL22="",-1,发布任务!BL22))</f>
        <v/>
      </c>
      <c r="AN22" s="1" t="str">
        <f>IF($A22="","",IF(发布任务!BM22="",-1,发布任务!BM22))</f>
        <v/>
      </c>
      <c r="AO22" s="1" t="str">
        <f>IF($A22="","",IF(发布任务!BN22="",-1,发布任务!BN22))</f>
        <v/>
      </c>
      <c r="AP22" s="1" t="str">
        <f>IF($A22="","",IF(发布任务!BO22="",-1,发布任务!BO22))</f>
        <v/>
      </c>
      <c r="AQ22" s="1" t="str">
        <f>IF($A22="","",IF(发布任务!BP22="",-1,发布任务!BP22))</f>
        <v/>
      </c>
      <c r="AR22" s="1" t="str">
        <f>IF($A22="","",IF(发布任务!BQ22="",-1,发布任务!BQ22))</f>
        <v/>
      </c>
      <c r="AS22" s="1" t="str">
        <f>IF($A22="","",IF(发布任务!BR22="",-1,发布任务!BR22))</f>
        <v/>
      </c>
      <c r="AT22" s="1" t="str">
        <f>IF($A22="","",IF(发布任务!BS22="",-1,发布任务!BS22))</f>
        <v/>
      </c>
      <c r="AU22" s="1" t="str">
        <f>IF($A22="","",IF(发布任务!BT22="",-1,发布任务!BT22))</f>
        <v/>
      </c>
      <c r="AV22" s="1" t="str">
        <f>IF($A22="","",IF(发布任务!BU22="",-1,发布任务!BU22))</f>
        <v/>
      </c>
      <c r="AW22" s="1" t="str">
        <f>IF($A22="","",IF(发布任务!BV22="",-1,发布任务!BV22))</f>
        <v/>
      </c>
      <c r="AX22" s="1" t="str">
        <f>IF($A22="","",IF(发布任务!BW22="",-1,发布任务!BW22))</f>
        <v/>
      </c>
      <c r="AY22" s="1" t="str">
        <f>IF($A22="","",IF(发布任务!BX22="",-1,发布任务!BX22))</f>
        <v/>
      </c>
      <c r="AZ22" s="1" t="str">
        <f>IF($A22="","",IF(发布任务!BY22="",-1,发布任务!BY22))</f>
        <v/>
      </c>
      <c r="BA22" s="1" t="str">
        <f>IF($A22="","",IF(发布任务!BZ22="",-1,发布任务!BZ22))</f>
        <v/>
      </c>
      <c r="BB22" s="1" t="str">
        <f>IF($A22="","",IF(发布任务!CA22="",-1,发布任务!CA22))</f>
        <v/>
      </c>
      <c r="BC22" s="1" t="str">
        <f>IF($A22="","",IF(发布任务!CB22="",-1,发布任务!CB22))</f>
        <v/>
      </c>
      <c r="BD22" s="1" t="str">
        <f>IF($A22="","",IF(发布任务!CC22="",-1,发布任务!CC22))</f>
        <v/>
      </c>
      <c r="BE22" s="1" t="str">
        <f>IF($A22="","",IF(发布任务!CD22="",-1,发布任务!CD22))</f>
        <v/>
      </c>
      <c r="BF22" s="1" t="str">
        <f>IF($A22="","",IF(发布任务!CE22="",-1,发布任务!CE22))</f>
        <v/>
      </c>
      <c r="BG22" s="1" t="str">
        <f>IF($A22="","",IF(发布任务!CF22="",-1,发布任务!CF22))</f>
        <v/>
      </c>
      <c r="BH22" s="1" t="str">
        <f>IF($A22="","",IF(发布任务!CG22="",-1,发布任务!CG22))</f>
        <v/>
      </c>
      <c r="BI22" s="1" t="str">
        <f>IF($A22="","",IF(发布任务!CH22="",-1,发布任务!CH22))</f>
        <v/>
      </c>
      <c r="BJ22" s="1" t="str">
        <f>IF($A22="","",IF(发布任务!CI22="",-1,发布任务!CI22))</f>
        <v/>
      </c>
      <c r="BK22" s="1" t="str">
        <f>IF($A22="","",IF(发布任务!CJ22="",-1,发布任务!CJ22))</f>
        <v/>
      </c>
      <c r="BL22" s="1" t="str">
        <f>IF($A22="","",IF(发布任务!CK22="",-1,发布任务!CK22))</f>
        <v/>
      </c>
      <c r="BM22" s="1" t="str">
        <f>IF($A22="","",IF(发布任务!CL22="",-1,发布任务!CL22))</f>
        <v/>
      </c>
      <c r="BN22" s="1" t="str">
        <f>IF($A22="","",IF(发布任务!CM22="",-1,发布任务!CM22))</f>
        <v/>
      </c>
      <c r="BO22" s="1" t="str">
        <f>IF($A22="","",IF(发布任务!CN22="",-1,发布任务!CN22))</f>
        <v/>
      </c>
      <c r="BP22" s="1" t="str">
        <f>IF($A22="","",IF(发布任务!CO22="",-1,发布任务!CO22))</f>
        <v/>
      </c>
      <c r="BQ22" s="1" t="str">
        <f>IF($A22="","",IF(发布任务!CP22="",-1,发布任务!CP22))</f>
        <v/>
      </c>
      <c r="BR22" s="1" t="str">
        <f>IF($A22="","",IF(发布任务!CQ22="",-1,发布任务!CQ22))</f>
        <v/>
      </c>
      <c r="BS22" s="1" t="str">
        <f>IF($A22="","",IF(发布任务!CR22="",-1,发布任务!CR22))</f>
        <v/>
      </c>
      <c r="BT22" s="1" t="str">
        <f>IF($A22="","",IF(发布任务!CS22="",-1,发布任务!CS22))</f>
        <v/>
      </c>
      <c r="BU22" s="1" t="str">
        <f>IF($A22="","",IF(发布任务!CT22="",-1,发布任务!CT22))</f>
        <v/>
      </c>
      <c r="BV22" s="1" t="str">
        <f>IF($A22="","",IF(发布任务!CU22="",-1,发布任务!CU22))</f>
        <v/>
      </c>
      <c r="BW22" s="1" t="str">
        <f>IF($A22="","",IF(发布任务!CV22="",-1,发布任务!CV22))</f>
        <v/>
      </c>
      <c r="BX22" s="1" t="str">
        <f>IF($A22="","",IF(发布任务!CW22="",-1,发布任务!CW22))</f>
        <v/>
      </c>
      <c r="BY22" s="1" t="str">
        <f>IF($A22="","",IF(发布任务!CX22="",-1,发布任务!CX22))</f>
        <v/>
      </c>
      <c r="BZ22" s="1" t="str">
        <f>IF($A22="","",IF(发布任务!CY22="",-1,发布任务!CY22))</f>
        <v/>
      </c>
      <c r="CA22" s="1" t="str">
        <f>IF($A22="","",IF(发布任务!CZ22="",-1,发布任务!CZ22))</f>
        <v/>
      </c>
      <c r="CB22" s="1" t="str">
        <f>IF($A22="","",IF(发布任务!DA22="",-1,发布任务!DA22))</f>
        <v/>
      </c>
      <c r="CC22" s="1" t="str">
        <f>IF($A22="","",IF(发布任务!DB22="",-1,发布任务!DB22))</f>
        <v/>
      </c>
      <c r="CD22" s="1" t="str">
        <f>IF($A22="","",IF(发布任务!DC22="",-1,发布任务!DC22))</f>
        <v/>
      </c>
      <c r="CE22" s="1" t="str">
        <f>IF($A22="","",IF(发布任务!DD22="",-1,发布任务!DD22))</f>
        <v/>
      </c>
      <c r="CF22" s="1" t="str">
        <f>IF($A22="","",IF(发布任务!DE22="",-1,发布任务!DE22))</f>
        <v/>
      </c>
      <c r="CG22" s="1" t="str">
        <f>IF($A22="","",IF(发布任务!DF22="",-1,发布任务!DF22))</f>
        <v/>
      </c>
      <c r="CH22" s="1" t="str">
        <f>IF($A22="","",IF(发布任务!DG22="",-1,发布任务!DG22))</f>
        <v/>
      </c>
      <c r="CI22" s="1" t="str">
        <f>IF($A22="","",IF(发布任务!DH22="",-1,发布任务!DH22))</f>
        <v/>
      </c>
      <c r="CJ22" s="1" t="str">
        <f>IF($A22="","",IF(发布任务!DI22="",-1,发布任务!DI22))</f>
        <v/>
      </c>
      <c r="CK22" s="1" t="str">
        <f>IF($A22="","",IF(发布任务!DJ22="",-1,发布任务!DJ22))</f>
        <v/>
      </c>
      <c r="CL22" s="1" t="str">
        <f>IF($A22="","",IF(发布任务!DK22="",-1,发布任务!DK22))</f>
        <v/>
      </c>
      <c r="CM22" s="1" t="str">
        <f>IF($A22="","",IF(发布任务!DL22="",-1,发布任务!DL22))</f>
        <v/>
      </c>
      <c r="CN22" s="1" t="str">
        <f>IF($A22="","",IF(发布任务!DM22="",-1,发布任务!DM22))</f>
        <v/>
      </c>
      <c r="CO22" s="1" t="str">
        <f>IF($A22="","",IF(发布任务!DN22="",-1,发布任务!DN22))</f>
        <v/>
      </c>
      <c r="CP22" s="1" t="str">
        <f>IF($A22="","",IF(发布任务!DO22="",-1,发布任务!DO22))</f>
        <v/>
      </c>
      <c r="CQ22" s="1" t="str">
        <f>IF($A22="","",IF(发布任务!DP22="",-1,发布任务!DP22))</f>
        <v/>
      </c>
      <c r="CR22" s="1" t="str">
        <f>IF($A22="","",IF(发布任务!DQ22="",-1,发布任务!DQ22))</f>
        <v/>
      </c>
      <c r="CS22" s="1" t="str">
        <f>IF($A22="","",IF(发布任务!DR22="",-1,发布任务!DR22))</f>
        <v/>
      </c>
      <c r="CT22" s="1" t="str">
        <f>IF($A22="","",IF(发布任务!DS22="",-1,发布任务!DS22))</f>
        <v/>
      </c>
      <c r="CU22" s="1" t="str">
        <f>IF($A22="","",IF(发布任务!DT22="",-1,发布任务!DT22))</f>
        <v/>
      </c>
      <c r="CV22" s="1" t="str">
        <f>IF($A22="","",IF(发布任务!DU22="",-1,发布任务!DU22))</f>
        <v/>
      </c>
      <c r="CW22" s="1" t="str">
        <f>IF($A22="","",IF(发布任务!DV22="",-1,发布任务!DV22))</f>
        <v/>
      </c>
      <c r="CX22" s="1" t="str">
        <f>IF($A22="","",IF(发布任务!DW22="",-1,发布任务!DW22))</f>
        <v/>
      </c>
      <c r="CY22" s="1" t="str">
        <f>IF($A22="","",IF(发布任务!DX22="",-1,发布任务!DX22))</f>
        <v/>
      </c>
      <c r="CZ22" s="1" t="str">
        <f>IF($A22="","",IF(发布任务!DY22="",-1,发布任务!DY22))</f>
        <v/>
      </c>
      <c r="DA22" s="1" t="str">
        <f>IF($A22="","",IF(发布任务!DZ22="",-1,发布任务!DZ22))</f>
        <v/>
      </c>
      <c r="DB22" s="1" t="str">
        <f>IF($A22="","",IF(发布任务!EA22="",-1,发布任务!EA22))</f>
        <v/>
      </c>
      <c r="DC22" s="1" t="str">
        <f>IF($A22="","",IF(发布任务!EB22="",-1,发布任务!EB22))</f>
        <v/>
      </c>
      <c r="DD22" s="1" t="str">
        <f>IF($A22="","",IF(发布任务!EC22="",-1,发布任务!EC22))</f>
        <v/>
      </c>
      <c r="DE22" s="1" t="str">
        <f>IF($A22="","",IF(发布任务!ED22="",-1,发布任务!ED22))</f>
        <v/>
      </c>
      <c r="DF22" s="1" t="str">
        <f>IF($A22="","",IF(发布任务!EE22="",-1,发布任务!EE22))</f>
        <v/>
      </c>
    </row>
    <row r="23" spans="2:110">
      <c r="B23" s="1" t="str">
        <f>IF($A23="","",VLOOKUP(A23,捏造NPC!$A:$R,5,FALSE))</f>
        <v/>
      </c>
      <c r="C23" s="1" t="str">
        <f>IF($A23="","",VLOOKUP(A23,捏造NPC!$A:$R,18,FALSE))</f>
        <v/>
      </c>
      <c r="D23" s="1" t="str">
        <f t="shared" si="0"/>
        <v/>
      </c>
      <c r="E23" s="1" t="str">
        <f t="shared" si="1"/>
        <v/>
      </c>
      <c r="J23" s="1"/>
      <c r="K23" s="1" t="str">
        <f>IF($A23="","",IF(发布任务!AJ23="",-1,发布任务!AJ23))</f>
        <v/>
      </c>
      <c r="L23" s="1" t="str">
        <f>IF($A23="","",IF(发布任务!AK23="",-1,发布任务!AK23))</f>
        <v/>
      </c>
      <c r="M23" s="1" t="str">
        <f>IF($A23="","",IF(发布任务!AL23="",-1,发布任务!AL23))</f>
        <v/>
      </c>
      <c r="N23" s="1" t="str">
        <f>IF($A23="","",IF(发布任务!AM23="",-1,发布任务!AM23))</f>
        <v/>
      </c>
      <c r="O23" s="1" t="str">
        <f>IF($A23="","",IF(发布任务!AN23="",-1,发布任务!AN23))</f>
        <v/>
      </c>
      <c r="P23" s="1" t="str">
        <f>IF($A23="","",IF(发布任务!AO23="",-1,发布任务!AO23))</f>
        <v/>
      </c>
      <c r="Q23" s="1" t="str">
        <f>IF($A23="","",IF(发布任务!AP23="",-1,发布任务!AP23))</f>
        <v/>
      </c>
      <c r="R23" s="1" t="str">
        <f>IF($A23="","",IF(发布任务!AQ23="",-1,发布任务!AQ23))</f>
        <v/>
      </c>
      <c r="S23" s="1" t="str">
        <f>IF($A23="","",IF(发布任务!AR23="",-1,发布任务!AR23))</f>
        <v/>
      </c>
      <c r="T23" s="1" t="str">
        <f>IF($A23="","",IF(发布任务!AS23="",-1,发布任务!AS23))</f>
        <v/>
      </c>
      <c r="U23" s="1" t="str">
        <f>IF($A23="","",IF(发布任务!AT23="",-1,发布任务!AT23))</f>
        <v/>
      </c>
      <c r="V23" s="1" t="str">
        <f>IF($A23="","",IF(发布任务!AU23="",-1,发布任务!AU23))</f>
        <v/>
      </c>
      <c r="W23" s="1" t="str">
        <f>IF($A23="","",IF(发布任务!AV23="",-1,发布任务!AV23))</f>
        <v/>
      </c>
      <c r="X23" s="1" t="str">
        <f>IF($A23="","",IF(发布任务!AW23="",-1,发布任务!AW23))</f>
        <v/>
      </c>
      <c r="Y23" s="1" t="str">
        <f>IF($A23="","",IF(发布任务!AX23="",-1,发布任务!AX23))</f>
        <v/>
      </c>
      <c r="Z23" s="1" t="str">
        <f>IF($A23="","",IF(发布任务!AY23="",-1,发布任务!AY23))</f>
        <v/>
      </c>
      <c r="AA23" s="1" t="str">
        <f>IF($A23="","",IF(发布任务!AZ23="",-1,发布任务!AZ23))</f>
        <v/>
      </c>
      <c r="AB23" s="1" t="str">
        <f>IF($A23="","",IF(发布任务!BA23="",-1,发布任务!BA23))</f>
        <v/>
      </c>
      <c r="AC23" s="1" t="str">
        <f>IF($A23="","",IF(发布任务!BB23="",-1,发布任务!BB23))</f>
        <v/>
      </c>
      <c r="AD23" s="1" t="str">
        <f>IF($A23="","",IF(发布任务!BC23="",-1,发布任务!BC23))</f>
        <v/>
      </c>
      <c r="AE23" s="1" t="str">
        <f>IF($A23="","",IF(发布任务!BD23="",-1,发布任务!BD23))</f>
        <v/>
      </c>
      <c r="AF23" s="1" t="str">
        <f>IF($A23="","",IF(发布任务!BE23="",-1,发布任务!BE23))</f>
        <v/>
      </c>
      <c r="AG23" s="1" t="str">
        <f>IF($A23="","",IF(发布任务!BF23="",-1,发布任务!BF23))</f>
        <v/>
      </c>
      <c r="AH23" s="1" t="str">
        <f>IF($A23="","",IF(发布任务!BG23="",-1,发布任务!BG23))</f>
        <v/>
      </c>
      <c r="AI23" s="1" t="str">
        <f>IF($A23="","",IF(发布任务!BH23="",-1,发布任务!BH23))</f>
        <v/>
      </c>
      <c r="AJ23" s="1" t="str">
        <f>IF($A23="","",IF(发布任务!BI23="",-1,发布任务!BI23))</f>
        <v/>
      </c>
      <c r="AK23" s="1" t="str">
        <f>IF($A23="","",IF(发布任务!BJ23="",-1,发布任务!BJ23))</f>
        <v/>
      </c>
      <c r="AL23" s="1" t="str">
        <f>IF($A23="","",IF(发布任务!BK23="",-1,发布任务!BK23))</f>
        <v/>
      </c>
      <c r="AM23" s="1" t="str">
        <f>IF($A23="","",IF(发布任务!BL23="",-1,发布任务!BL23))</f>
        <v/>
      </c>
      <c r="AN23" s="1" t="str">
        <f>IF($A23="","",IF(发布任务!BM23="",-1,发布任务!BM23))</f>
        <v/>
      </c>
      <c r="AO23" s="1" t="str">
        <f>IF($A23="","",IF(发布任务!BN23="",-1,发布任务!BN23))</f>
        <v/>
      </c>
      <c r="AP23" s="1" t="str">
        <f>IF($A23="","",IF(发布任务!BO23="",-1,发布任务!BO23))</f>
        <v/>
      </c>
      <c r="AQ23" s="1" t="str">
        <f>IF($A23="","",IF(发布任务!BP23="",-1,发布任务!BP23))</f>
        <v/>
      </c>
      <c r="AR23" s="1" t="str">
        <f>IF($A23="","",IF(发布任务!BQ23="",-1,发布任务!BQ23))</f>
        <v/>
      </c>
      <c r="AS23" s="1" t="str">
        <f>IF($A23="","",IF(发布任务!BR23="",-1,发布任务!BR23))</f>
        <v/>
      </c>
      <c r="AT23" s="1" t="str">
        <f>IF($A23="","",IF(发布任务!BS23="",-1,发布任务!BS23))</f>
        <v/>
      </c>
      <c r="AU23" s="1" t="str">
        <f>IF($A23="","",IF(发布任务!BT23="",-1,发布任务!BT23))</f>
        <v/>
      </c>
      <c r="AV23" s="1" t="str">
        <f>IF($A23="","",IF(发布任务!BU23="",-1,发布任务!BU23))</f>
        <v/>
      </c>
      <c r="AW23" s="1" t="str">
        <f>IF($A23="","",IF(发布任务!BV23="",-1,发布任务!BV23))</f>
        <v/>
      </c>
      <c r="AX23" s="1" t="str">
        <f>IF($A23="","",IF(发布任务!BW23="",-1,发布任务!BW23))</f>
        <v/>
      </c>
      <c r="AY23" s="1" t="str">
        <f>IF($A23="","",IF(发布任务!BX23="",-1,发布任务!BX23))</f>
        <v/>
      </c>
      <c r="AZ23" s="1" t="str">
        <f>IF($A23="","",IF(发布任务!BY23="",-1,发布任务!BY23))</f>
        <v/>
      </c>
      <c r="BA23" s="1" t="str">
        <f>IF($A23="","",IF(发布任务!BZ23="",-1,发布任务!BZ23))</f>
        <v/>
      </c>
      <c r="BB23" s="1" t="str">
        <f>IF($A23="","",IF(发布任务!CA23="",-1,发布任务!CA23))</f>
        <v/>
      </c>
      <c r="BC23" s="1" t="str">
        <f>IF($A23="","",IF(发布任务!CB23="",-1,发布任务!CB23))</f>
        <v/>
      </c>
      <c r="BD23" s="1" t="str">
        <f>IF($A23="","",IF(发布任务!CC23="",-1,发布任务!CC23))</f>
        <v/>
      </c>
      <c r="BE23" s="1" t="str">
        <f>IF($A23="","",IF(发布任务!CD23="",-1,发布任务!CD23))</f>
        <v/>
      </c>
      <c r="BF23" s="1" t="str">
        <f>IF($A23="","",IF(发布任务!CE23="",-1,发布任务!CE23))</f>
        <v/>
      </c>
      <c r="BG23" s="1" t="str">
        <f>IF($A23="","",IF(发布任务!CF23="",-1,发布任务!CF23))</f>
        <v/>
      </c>
      <c r="BH23" s="1" t="str">
        <f>IF($A23="","",IF(发布任务!CG23="",-1,发布任务!CG23))</f>
        <v/>
      </c>
      <c r="BI23" s="1" t="str">
        <f>IF($A23="","",IF(发布任务!CH23="",-1,发布任务!CH23))</f>
        <v/>
      </c>
      <c r="BJ23" s="1" t="str">
        <f>IF($A23="","",IF(发布任务!CI23="",-1,发布任务!CI23))</f>
        <v/>
      </c>
      <c r="BK23" s="1" t="str">
        <f>IF($A23="","",IF(发布任务!CJ23="",-1,发布任务!CJ23))</f>
        <v/>
      </c>
      <c r="BL23" s="1" t="str">
        <f>IF($A23="","",IF(发布任务!CK23="",-1,发布任务!CK23))</f>
        <v/>
      </c>
      <c r="BM23" s="1" t="str">
        <f>IF($A23="","",IF(发布任务!CL23="",-1,发布任务!CL23))</f>
        <v/>
      </c>
      <c r="BN23" s="1" t="str">
        <f>IF($A23="","",IF(发布任务!CM23="",-1,发布任务!CM23))</f>
        <v/>
      </c>
      <c r="BO23" s="1" t="str">
        <f>IF($A23="","",IF(发布任务!CN23="",-1,发布任务!CN23))</f>
        <v/>
      </c>
      <c r="BP23" s="1" t="str">
        <f>IF($A23="","",IF(发布任务!CO23="",-1,发布任务!CO23))</f>
        <v/>
      </c>
      <c r="BQ23" s="1" t="str">
        <f>IF($A23="","",IF(发布任务!CP23="",-1,发布任务!CP23))</f>
        <v/>
      </c>
      <c r="BR23" s="1" t="str">
        <f>IF($A23="","",IF(发布任务!CQ23="",-1,发布任务!CQ23))</f>
        <v/>
      </c>
      <c r="BS23" s="1" t="str">
        <f>IF($A23="","",IF(发布任务!CR23="",-1,发布任务!CR23))</f>
        <v/>
      </c>
      <c r="BT23" s="1" t="str">
        <f>IF($A23="","",IF(发布任务!CS23="",-1,发布任务!CS23))</f>
        <v/>
      </c>
      <c r="BU23" s="1" t="str">
        <f>IF($A23="","",IF(发布任务!CT23="",-1,发布任务!CT23))</f>
        <v/>
      </c>
      <c r="BV23" s="1" t="str">
        <f>IF($A23="","",IF(发布任务!CU23="",-1,发布任务!CU23))</f>
        <v/>
      </c>
      <c r="BW23" s="1" t="str">
        <f>IF($A23="","",IF(发布任务!CV23="",-1,发布任务!CV23))</f>
        <v/>
      </c>
      <c r="BX23" s="1" t="str">
        <f>IF($A23="","",IF(发布任务!CW23="",-1,发布任务!CW23))</f>
        <v/>
      </c>
      <c r="BY23" s="1" t="str">
        <f>IF($A23="","",IF(发布任务!CX23="",-1,发布任务!CX23))</f>
        <v/>
      </c>
      <c r="BZ23" s="1" t="str">
        <f>IF($A23="","",IF(发布任务!CY23="",-1,发布任务!CY23))</f>
        <v/>
      </c>
      <c r="CA23" s="1" t="str">
        <f>IF($A23="","",IF(发布任务!CZ23="",-1,发布任务!CZ23))</f>
        <v/>
      </c>
      <c r="CB23" s="1" t="str">
        <f>IF($A23="","",IF(发布任务!DA23="",-1,发布任务!DA23))</f>
        <v/>
      </c>
      <c r="CC23" s="1" t="str">
        <f>IF($A23="","",IF(发布任务!DB23="",-1,发布任务!DB23))</f>
        <v/>
      </c>
      <c r="CD23" s="1" t="str">
        <f>IF($A23="","",IF(发布任务!DC23="",-1,发布任务!DC23))</f>
        <v/>
      </c>
      <c r="CE23" s="1" t="str">
        <f>IF($A23="","",IF(发布任务!DD23="",-1,发布任务!DD23))</f>
        <v/>
      </c>
      <c r="CF23" s="1" t="str">
        <f>IF($A23="","",IF(发布任务!DE23="",-1,发布任务!DE23))</f>
        <v/>
      </c>
      <c r="CG23" s="1" t="str">
        <f>IF($A23="","",IF(发布任务!DF23="",-1,发布任务!DF23))</f>
        <v/>
      </c>
      <c r="CH23" s="1" t="str">
        <f>IF($A23="","",IF(发布任务!DG23="",-1,发布任务!DG23))</f>
        <v/>
      </c>
      <c r="CI23" s="1" t="str">
        <f>IF($A23="","",IF(发布任务!DH23="",-1,发布任务!DH23))</f>
        <v/>
      </c>
      <c r="CJ23" s="1" t="str">
        <f>IF($A23="","",IF(发布任务!DI23="",-1,发布任务!DI23))</f>
        <v/>
      </c>
      <c r="CK23" s="1" t="str">
        <f>IF($A23="","",IF(发布任务!DJ23="",-1,发布任务!DJ23))</f>
        <v/>
      </c>
      <c r="CL23" s="1" t="str">
        <f>IF($A23="","",IF(发布任务!DK23="",-1,发布任务!DK23))</f>
        <v/>
      </c>
      <c r="CM23" s="1" t="str">
        <f>IF($A23="","",IF(发布任务!DL23="",-1,发布任务!DL23))</f>
        <v/>
      </c>
      <c r="CN23" s="1" t="str">
        <f>IF($A23="","",IF(发布任务!DM23="",-1,发布任务!DM23))</f>
        <v/>
      </c>
      <c r="CO23" s="1" t="str">
        <f>IF($A23="","",IF(发布任务!DN23="",-1,发布任务!DN23))</f>
        <v/>
      </c>
      <c r="CP23" s="1" t="str">
        <f>IF($A23="","",IF(发布任务!DO23="",-1,发布任务!DO23))</f>
        <v/>
      </c>
      <c r="CQ23" s="1" t="str">
        <f>IF($A23="","",IF(发布任务!DP23="",-1,发布任务!DP23))</f>
        <v/>
      </c>
      <c r="CR23" s="1" t="str">
        <f>IF($A23="","",IF(发布任务!DQ23="",-1,发布任务!DQ23))</f>
        <v/>
      </c>
      <c r="CS23" s="1" t="str">
        <f>IF($A23="","",IF(发布任务!DR23="",-1,发布任务!DR23))</f>
        <v/>
      </c>
      <c r="CT23" s="1" t="str">
        <f>IF($A23="","",IF(发布任务!DS23="",-1,发布任务!DS23))</f>
        <v/>
      </c>
      <c r="CU23" s="1" t="str">
        <f>IF($A23="","",IF(发布任务!DT23="",-1,发布任务!DT23))</f>
        <v/>
      </c>
      <c r="CV23" s="1" t="str">
        <f>IF($A23="","",IF(发布任务!DU23="",-1,发布任务!DU23))</f>
        <v/>
      </c>
      <c r="CW23" s="1" t="str">
        <f>IF($A23="","",IF(发布任务!DV23="",-1,发布任务!DV23))</f>
        <v/>
      </c>
      <c r="CX23" s="1" t="str">
        <f>IF($A23="","",IF(发布任务!DW23="",-1,发布任务!DW23))</f>
        <v/>
      </c>
      <c r="CY23" s="1" t="str">
        <f>IF($A23="","",IF(发布任务!DX23="",-1,发布任务!DX23))</f>
        <v/>
      </c>
      <c r="CZ23" s="1" t="str">
        <f>IF($A23="","",IF(发布任务!DY23="",-1,发布任务!DY23))</f>
        <v/>
      </c>
      <c r="DA23" s="1" t="str">
        <f>IF($A23="","",IF(发布任务!DZ23="",-1,发布任务!DZ23))</f>
        <v/>
      </c>
      <c r="DB23" s="1" t="str">
        <f>IF($A23="","",IF(发布任务!EA23="",-1,发布任务!EA23))</f>
        <v/>
      </c>
      <c r="DC23" s="1" t="str">
        <f>IF($A23="","",IF(发布任务!EB23="",-1,发布任务!EB23))</f>
        <v/>
      </c>
      <c r="DD23" s="1" t="str">
        <f>IF($A23="","",IF(发布任务!EC23="",-1,发布任务!EC23))</f>
        <v/>
      </c>
      <c r="DE23" s="1" t="str">
        <f>IF($A23="","",IF(发布任务!ED23="",-1,发布任务!ED23))</f>
        <v/>
      </c>
      <c r="DF23" s="1" t="str">
        <f>IF($A23="","",IF(发布任务!EE23="",-1,发布任务!EE23))</f>
        <v/>
      </c>
    </row>
    <row r="24" spans="2:110">
      <c r="B24" s="1" t="str">
        <f>IF($A24="","",VLOOKUP(A24,捏造NPC!$A:$R,5,FALSE))</f>
        <v/>
      </c>
      <c r="C24" s="1" t="str">
        <f>IF($A24="","",VLOOKUP(A24,捏造NPC!$A:$R,18,FALSE))</f>
        <v/>
      </c>
      <c r="D24" s="1" t="str">
        <f t="shared" si="0"/>
        <v/>
      </c>
      <c r="E24" s="1" t="str">
        <f t="shared" si="1"/>
        <v/>
      </c>
      <c r="K24" s="1" t="str">
        <f>IF($A24="","",IF(发布任务!AJ24="",-1,发布任务!AJ24))</f>
        <v/>
      </c>
      <c r="L24" s="1" t="str">
        <f>IF($A24="","",IF(发布任务!AK24="",-1,发布任务!AK24))</f>
        <v/>
      </c>
      <c r="M24" s="1" t="str">
        <f>IF($A24="","",IF(发布任务!AL24="",-1,发布任务!AL24))</f>
        <v/>
      </c>
      <c r="N24" s="1" t="str">
        <f>IF($A24="","",IF(发布任务!AM24="",-1,发布任务!AM24))</f>
        <v/>
      </c>
      <c r="O24" s="1" t="str">
        <f>IF($A24="","",IF(发布任务!AN24="",-1,发布任务!AN24))</f>
        <v/>
      </c>
      <c r="P24" s="1" t="str">
        <f>IF($A24="","",IF(发布任务!AO24="",-1,发布任务!AO24))</f>
        <v/>
      </c>
      <c r="Q24" s="1" t="str">
        <f>IF($A24="","",IF(发布任务!AP24="",-1,发布任务!AP24))</f>
        <v/>
      </c>
      <c r="R24" s="1" t="str">
        <f>IF($A24="","",IF(发布任务!AQ24="",-1,发布任务!AQ24))</f>
        <v/>
      </c>
      <c r="S24" s="1" t="str">
        <f>IF($A24="","",IF(发布任务!AR24="",-1,发布任务!AR24))</f>
        <v/>
      </c>
      <c r="T24" s="1" t="str">
        <f>IF($A24="","",IF(发布任务!AS24="",-1,发布任务!AS24))</f>
        <v/>
      </c>
      <c r="U24" s="1" t="str">
        <f>IF($A24="","",IF(发布任务!AT24="",-1,发布任务!AT24))</f>
        <v/>
      </c>
      <c r="V24" s="1" t="str">
        <f>IF($A24="","",IF(发布任务!AU24="",-1,发布任务!AU24))</f>
        <v/>
      </c>
      <c r="W24" s="1" t="str">
        <f>IF($A24="","",IF(发布任务!AV24="",-1,发布任务!AV24))</f>
        <v/>
      </c>
      <c r="X24" s="1" t="str">
        <f>IF($A24="","",IF(发布任务!AW24="",-1,发布任务!AW24))</f>
        <v/>
      </c>
      <c r="Y24" s="1" t="str">
        <f>IF($A24="","",IF(发布任务!AX24="",-1,发布任务!AX24))</f>
        <v/>
      </c>
      <c r="Z24" s="1" t="str">
        <f>IF($A24="","",IF(发布任务!AY24="",-1,发布任务!AY24))</f>
        <v/>
      </c>
      <c r="AA24" s="1" t="str">
        <f>IF($A24="","",IF(发布任务!AZ24="",-1,发布任务!AZ24))</f>
        <v/>
      </c>
      <c r="AB24" s="1" t="str">
        <f>IF($A24="","",IF(发布任务!BA24="",-1,发布任务!BA24))</f>
        <v/>
      </c>
      <c r="AC24" s="1" t="str">
        <f>IF($A24="","",IF(发布任务!BB24="",-1,发布任务!BB24))</f>
        <v/>
      </c>
      <c r="AD24" s="1" t="str">
        <f>IF($A24="","",IF(发布任务!BC24="",-1,发布任务!BC24))</f>
        <v/>
      </c>
      <c r="AE24" s="1" t="str">
        <f>IF($A24="","",IF(发布任务!BD24="",-1,发布任务!BD24))</f>
        <v/>
      </c>
      <c r="AF24" s="1" t="str">
        <f>IF($A24="","",IF(发布任务!BE24="",-1,发布任务!BE24))</f>
        <v/>
      </c>
      <c r="AG24" s="1" t="str">
        <f>IF($A24="","",IF(发布任务!BF24="",-1,发布任务!BF24))</f>
        <v/>
      </c>
      <c r="AH24" s="1" t="str">
        <f>IF($A24="","",IF(发布任务!BG24="",-1,发布任务!BG24))</f>
        <v/>
      </c>
      <c r="AI24" s="1" t="str">
        <f>IF($A24="","",IF(发布任务!BH24="",-1,发布任务!BH24))</f>
        <v/>
      </c>
      <c r="AJ24" s="1" t="str">
        <f>IF($A24="","",IF(发布任务!BI24="",-1,发布任务!BI24))</f>
        <v/>
      </c>
      <c r="AK24" s="1" t="str">
        <f>IF($A24="","",IF(发布任务!BJ24="",-1,发布任务!BJ24))</f>
        <v/>
      </c>
      <c r="AL24" s="1" t="str">
        <f>IF($A24="","",IF(发布任务!BK24="",-1,发布任务!BK24))</f>
        <v/>
      </c>
      <c r="AM24" s="1" t="str">
        <f>IF($A24="","",IF(发布任务!BL24="",-1,发布任务!BL24))</f>
        <v/>
      </c>
      <c r="AN24" s="1" t="str">
        <f>IF($A24="","",IF(发布任务!BM24="",-1,发布任务!BM24))</f>
        <v/>
      </c>
      <c r="AO24" s="1" t="str">
        <f>IF($A24="","",IF(发布任务!BN24="",-1,发布任务!BN24))</f>
        <v/>
      </c>
      <c r="AP24" s="1" t="str">
        <f>IF($A24="","",IF(发布任务!BO24="",-1,发布任务!BO24))</f>
        <v/>
      </c>
      <c r="AQ24" s="1" t="str">
        <f>IF($A24="","",IF(发布任务!BP24="",-1,发布任务!BP24))</f>
        <v/>
      </c>
      <c r="AR24" s="1" t="str">
        <f>IF($A24="","",IF(发布任务!BQ24="",-1,发布任务!BQ24))</f>
        <v/>
      </c>
      <c r="AS24" s="1" t="str">
        <f>IF($A24="","",IF(发布任务!BR24="",-1,发布任务!BR24))</f>
        <v/>
      </c>
      <c r="AT24" s="1" t="str">
        <f>IF($A24="","",IF(发布任务!BS24="",-1,发布任务!BS24))</f>
        <v/>
      </c>
      <c r="AU24" s="1" t="str">
        <f>IF($A24="","",IF(发布任务!BT24="",-1,发布任务!BT24))</f>
        <v/>
      </c>
      <c r="AV24" s="1" t="str">
        <f>IF($A24="","",IF(发布任务!BU24="",-1,发布任务!BU24))</f>
        <v/>
      </c>
      <c r="AW24" s="1" t="str">
        <f>IF($A24="","",IF(发布任务!BV24="",-1,发布任务!BV24))</f>
        <v/>
      </c>
      <c r="AX24" s="1" t="str">
        <f>IF($A24="","",IF(发布任务!BW24="",-1,发布任务!BW24))</f>
        <v/>
      </c>
      <c r="AY24" s="1" t="str">
        <f>IF($A24="","",IF(发布任务!BX24="",-1,发布任务!BX24))</f>
        <v/>
      </c>
      <c r="AZ24" s="1" t="str">
        <f>IF($A24="","",IF(发布任务!BY24="",-1,发布任务!BY24))</f>
        <v/>
      </c>
      <c r="BA24" s="1" t="str">
        <f>IF($A24="","",IF(发布任务!BZ24="",-1,发布任务!BZ24))</f>
        <v/>
      </c>
      <c r="BB24" s="1" t="str">
        <f>IF($A24="","",IF(发布任务!CA24="",-1,发布任务!CA24))</f>
        <v/>
      </c>
      <c r="BC24" s="1" t="str">
        <f>IF($A24="","",IF(发布任务!CB24="",-1,发布任务!CB24))</f>
        <v/>
      </c>
      <c r="BD24" s="1" t="str">
        <f>IF($A24="","",IF(发布任务!CC24="",-1,发布任务!CC24))</f>
        <v/>
      </c>
      <c r="BE24" s="1" t="str">
        <f>IF($A24="","",IF(发布任务!CD24="",-1,发布任务!CD24))</f>
        <v/>
      </c>
      <c r="BF24" s="1" t="str">
        <f>IF($A24="","",IF(发布任务!CE24="",-1,发布任务!CE24))</f>
        <v/>
      </c>
      <c r="BG24" s="1" t="str">
        <f>IF($A24="","",IF(发布任务!CF24="",-1,发布任务!CF24))</f>
        <v/>
      </c>
      <c r="BH24" s="1" t="str">
        <f>IF($A24="","",IF(发布任务!CG24="",-1,发布任务!CG24))</f>
        <v/>
      </c>
      <c r="BI24" s="1" t="str">
        <f>IF($A24="","",IF(发布任务!CH24="",-1,发布任务!CH24))</f>
        <v/>
      </c>
      <c r="BJ24" s="1" t="str">
        <f>IF($A24="","",IF(发布任务!CI24="",-1,发布任务!CI24))</f>
        <v/>
      </c>
      <c r="BK24" s="1" t="str">
        <f>IF($A24="","",IF(发布任务!CJ24="",-1,发布任务!CJ24))</f>
        <v/>
      </c>
      <c r="BL24" s="1" t="str">
        <f>IF($A24="","",IF(发布任务!CK24="",-1,发布任务!CK24))</f>
        <v/>
      </c>
      <c r="BM24" s="1" t="str">
        <f>IF($A24="","",IF(发布任务!CL24="",-1,发布任务!CL24))</f>
        <v/>
      </c>
      <c r="BN24" s="1" t="str">
        <f>IF($A24="","",IF(发布任务!CM24="",-1,发布任务!CM24))</f>
        <v/>
      </c>
      <c r="BO24" s="1" t="str">
        <f>IF($A24="","",IF(发布任务!CN24="",-1,发布任务!CN24))</f>
        <v/>
      </c>
      <c r="BP24" s="1" t="str">
        <f>IF($A24="","",IF(发布任务!CO24="",-1,发布任务!CO24))</f>
        <v/>
      </c>
      <c r="BQ24" s="1" t="str">
        <f>IF($A24="","",IF(发布任务!CP24="",-1,发布任务!CP24))</f>
        <v/>
      </c>
      <c r="BR24" s="1" t="str">
        <f>IF($A24="","",IF(发布任务!CQ24="",-1,发布任务!CQ24))</f>
        <v/>
      </c>
      <c r="BS24" s="1" t="str">
        <f>IF($A24="","",IF(发布任务!CR24="",-1,发布任务!CR24))</f>
        <v/>
      </c>
      <c r="BT24" s="1" t="str">
        <f>IF($A24="","",IF(发布任务!CS24="",-1,发布任务!CS24))</f>
        <v/>
      </c>
      <c r="BU24" s="1" t="str">
        <f>IF($A24="","",IF(发布任务!CT24="",-1,发布任务!CT24))</f>
        <v/>
      </c>
      <c r="BV24" s="1" t="str">
        <f>IF($A24="","",IF(发布任务!CU24="",-1,发布任务!CU24))</f>
        <v/>
      </c>
      <c r="BW24" s="1" t="str">
        <f>IF($A24="","",IF(发布任务!CV24="",-1,发布任务!CV24))</f>
        <v/>
      </c>
      <c r="BX24" s="1" t="str">
        <f>IF($A24="","",IF(发布任务!CW24="",-1,发布任务!CW24))</f>
        <v/>
      </c>
      <c r="BY24" s="1" t="str">
        <f>IF($A24="","",IF(发布任务!CX24="",-1,发布任务!CX24))</f>
        <v/>
      </c>
      <c r="BZ24" s="1" t="str">
        <f>IF($A24="","",IF(发布任务!CY24="",-1,发布任务!CY24))</f>
        <v/>
      </c>
      <c r="CA24" s="1" t="str">
        <f>IF($A24="","",IF(发布任务!CZ24="",-1,发布任务!CZ24))</f>
        <v/>
      </c>
      <c r="CB24" s="1" t="str">
        <f>IF($A24="","",IF(发布任务!DA24="",-1,发布任务!DA24))</f>
        <v/>
      </c>
      <c r="CC24" s="1" t="str">
        <f>IF($A24="","",IF(发布任务!DB24="",-1,发布任务!DB24))</f>
        <v/>
      </c>
      <c r="CD24" s="1" t="str">
        <f>IF($A24="","",IF(发布任务!DC24="",-1,发布任务!DC24))</f>
        <v/>
      </c>
      <c r="CE24" s="1" t="str">
        <f>IF($A24="","",IF(发布任务!DD24="",-1,发布任务!DD24))</f>
        <v/>
      </c>
      <c r="CF24" s="1" t="str">
        <f>IF($A24="","",IF(发布任务!DE24="",-1,发布任务!DE24))</f>
        <v/>
      </c>
      <c r="CG24" s="1" t="str">
        <f>IF($A24="","",IF(发布任务!DF24="",-1,发布任务!DF24))</f>
        <v/>
      </c>
      <c r="CH24" s="1" t="str">
        <f>IF($A24="","",IF(发布任务!DG24="",-1,发布任务!DG24))</f>
        <v/>
      </c>
      <c r="CI24" s="1" t="str">
        <f>IF($A24="","",IF(发布任务!DH24="",-1,发布任务!DH24))</f>
        <v/>
      </c>
      <c r="CJ24" s="1" t="str">
        <f>IF($A24="","",IF(发布任务!DI24="",-1,发布任务!DI24))</f>
        <v/>
      </c>
      <c r="CK24" s="1" t="str">
        <f>IF($A24="","",IF(发布任务!DJ24="",-1,发布任务!DJ24))</f>
        <v/>
      </c>
      <c r="CL24" s="1" t="str">
        <f>IF($A24="","",IF(发布任务!DK24="",-1,发布任务!DK24))</f>
        <v/>
      </c>
      <c r="CM24" s="1" t="str">
        <f>IF($A24="","",IF(发布任务!DL24="",-1,发布任务!DL24))</f>
        <v/>
      </c>
      <c r="CN24" s="1" t="str">
        <f>IF($A24="","",IF(发布任务!DM24="",-1,发布任务!DM24))</f>
        <v/>
      </c>
      <c r="CO24" s="1" t="str">
        <f>IF($A24="","",IF(发布任务!DN24="",-1,发布任务!DN24))</f>
        <v/>
      </c>
      <c r="CP24" s="1" t="str">
        <f>IF($A24="","",IF(发布任务!DO24="",-1,发布任务!DO24))</f>
        <v/>
      </c>
      <c r="CQ24" s="1" t="str">
        <f>IF($A24="","",IF(发布任务!DP24="",-1,发布任务!DP24))</f>
        <v/>
      </c>
      <c r="CR24" s="1" t="str">
        <f>IF($A24="","",IF(发布任务!DQ24="",-1,发布任务!DQ24))</f>
        <v/>
      </c>
      <c r="CS24" s="1" t="str">
        <f>IF($A24="","",IF(发布任务!DR24="",-1,发布任务!DR24))</f>
        <v/>
      </c>
      <c r="CT24" s="1" t="str">
        <f>IF($A24="","",IF(发布任务!DS24="",-1,发布任务!DS24))</f>
        <v/>
      </c>
      <c r="CU24" s="1" t="str">
        <f>IF($A24="","",IF(发布任务!DT24="",-1,发布任务!DT24))</f>
        <v/>
      </c>
      <c r="CV24" s="1" t="str">
        <f>IF($A24="","",IF(发布任务!DU24="",-1,发布任务!DU24))</f>
        <v/>
      </c>
      <c r="CW24" s="1" t="str">
        <f>IF($A24="","",IF(发布任务!DV24="",-1,发布任务!DV24))</f>
        <v/>
      </c>
      <c r="CX24" s="1" t="str">
        <f>IF($A24="","",IF(发布任务!DW24="",-1,发布任务!DW24))</f>
        <v/>
      </c>
      <c r="CY24" s="1" t="str">
        <f>IF($A24="","",IF(发布任务!DX24="",-1,发布任务!DX24))</f>
        <v/>
      </c>
      <c r="CZ24" s="1" t="str">
        <f>IF($A24="","",IF(发布任务!DY24="",-1,发布任务!DY24))</f>
        <v/>
      </c>
      <c r="DA24" s="1" t="str">
        <f>IF($A24="","",IF(发布任务!DZ24="",-1,发布任务!DZ24))</f>
        <v/>
      </c>
      <c r="DB24" s="1" t="str">
        <f>IF($A24="","",IF(发布任务!EA24="",-1,发布任务!EA24))</f>
        <v/>
      </c>
      <c r="DC24" s="1" t="str">
        <f>IF($A24="","",IF(发布任务!EB24="",-1,发布任务!EB24))</f>
        <v/>
      </c>
      <c r="DD24" s="1" t="str">
        <f>IF($A24="","",IF(发布任务!EC24="",-1,发布任务!EC24))</f>
        <v/>
      </c>
      <c r="DE24" s="1" t="str">
        <f>IF($A24="","",IF(发布任务!ED24="",-1,发布任务!ED24))</f>
        <v/>
      </c>
      <c r="DF24" s="1" t="str">
        <f>IF($A24="","",IF(发布任务!EE24="",-1,发布任务!EE24))</f>
        <v/>
      </c>
    </row>
    <row r="25" spans="11:11">
      <c r="K25" s="1"/>
    </row>
  </sheetData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G25"/>
  <sheetViews>
    <sheetView workbookViewId="0">
      <pane xSplit="4" ySplit="4" topLeftCell="K5" activePane="bottomRight" state="frozen"/>
      <selection/>
      <selection pane="topRight"/>
      <selection pane="bottomLeft"/>
      <selection pane="bottomRight" activeCell="Y4" sqref="Y4"/>
    </sheetView>
  </sheetViews>
  <sheetFormatPr defaultColWidth="9" defaultRowHeight="13.5"/>
  <cols>
    <col min="4" max="4" width="12" customWidth="1"/>
    <col min="10" max="10" width="10.375" customWidth="1"/>
    <col min="18" max="18" width="9.375"/>
  </cols>
  <sheetData>
    <row r="1" spans="1:111">
      <c r="A1" s="1" t="s">
        <v>123</v>
      </c>
      <c r="B1" s="1" t="s">
        <v>829</v>
      </c>
      <c r="C1" s="1" t="s">
        <v>351</v>
      </c>
      <c r="D1" s="1" t="s">
        <v>830</v>
      </c>
      <c r="E1" s="1" t="s">
        <v>831</v>
      </c>
      <c r="F1" s="1" t="s">
        <v>832</v>
      </c>
      <c r="G1" s="1" t="s">
        <v>833</v>
      </c>
      <c r="H1" s="1" t="s">
        <v>834</v>
      </c>
      <c r="I1" s="1" t="s">
        <v>835</v>
      </c>
      <c r="J1" s="1" t="s">
        <v>836</v>
      </c>
      <c r="K1" s="1" t="s">
        <v>837</v>
      </c>
      <c r="L1" s="1" t="s">
        <v>838</v>
      </c>
      <c r="M1" s="1" t="s">
        <v>839</v>
      </c>
      <c r="N1" s="1" t="s">
        <v>840</v>
      </c>
      <c r="O1" s="1" t="s">
        <v>841</v>
      </c>
      <c r="P1" s="1" t="s">
        <v>842</v>
      </c>
      <c r="Q1" s="1" t="s">
        <v>843</v>
      </c>
      <c r="R1" s="1" t="s">
        <v>844</v>
      </c>
      <c r="S1" s="1" t="s">
        <v>845</v>
      </c>
      <c r="T1" s="1" t="s">
        <v>846</v>
      </c>
      <c r="U1" s="1" t="s">
        <v>847</v>
      </c>
      <c r="V1" s="1" t="s">
        <v>848</v>
      </c>
      <c r="W1" s="1" t="s">
        <v>849</v>
      </c>
      <c r="X1" s="1" t="s">
        <v>850</v>
      </c>
      <c r="Y1" s="1" t="s">
        <v>851</v>
      </c>
      <c r="Z1" s="1" t="s">
        <v>852</v>
      </c>
      <c r="AA1" s="1" t="s">
        <v>853</v>
      </c>
      <c r="AB1" s="1" t="s">
        <v>854</v>
      </c>
      <c r="AC1" s="1" t="s">
        <v>855</v>
      </c>
      <c r="AD1" s="1" t="s">
        <v>856</v>
      </c>
      <c r="AE1" s="1" t="s">
        <v>857</v>
      </c>
      <c r="AF1" s="1" t="s">
        <v>858</v>
      </c>
      <c r="AG1" s="1" t="s">
        <v>859</v>
      </c>
      <c r="AH1" s="1" t="s">
        <v>860</v>
      </c>
      <c r="AI1" s="1" t="s">
        <v>861</v>
      </c>
      <c r="AJ1" s="1" t="s">
        <v>862</v>
      </c>
      <c r="AK1" s="1" t="s">
        <v>461</v>
      </c>
      <c r="AL1" s="1" t="s">
        <v>863</v>
      </c>
      <c r="AM1" s="1" t="s">
        <v>864</v>
      </c>
      <c r="AN1" s="1" t="s">
        <v>865</v>
      </c>
      <c r="AO1" s="1" t="s">
        <v>866</v>
      </c>
      <c r="AP1" s="1" t="s">
        <v>867</v>
      </c>
      <c r="AQ1" s="1" t="s">
        <v>868</v>
      </c>
      <c r="AR1" s="1" t="s">
        <v>869</v>
      </c>
      <c r="AS1" s="1" t="s">
        <v>870</v>
      </c>
      <c r="AT1" s="1" t="s">
        <v>871</v>
      </c>
      <c r="AU1" s="1" t="s">
        <v>872</v>
      </c>
      <c r="AV1" s="1" t="s">
        <v>873</v>
      </c>
      <c r="AW1" s="1" t="s">
        <v>874</v>
      </c>
      <c r="AX1" s="1" t="s">
        <v>875</v>
      </c>
      <c r="AY1" s="1" t="s">
        <v>876</v>
      </c>
      <c r="AZ1" s="1" t="s">
        <v>877</v>
      </c>
      <c r="BA1" s="1" t="s">
        <v>878</v>
      </c>
      <c r="BB1" s="1" t="s">
        <v>879</v>
      </c>
      <c r="BC1" s="1" t="s">
        <v>880</v>
      </c>
      <c r="BD1" s="1" t="s">
        <v>881</v>
      </c>
      <c r="BE1" s="1" t="s">
        <v>882</v>
      </c>
      <c r="BF1" s="1" t="s">
        <v>883</v>
      </c>
      <c r="BG1" s="1" t="s">
        <v>884</v>
      </c>
      <c r="BH1" s="1" t="s">
        <v>885</v>
      </c>
      <c r="BI1" s="1" t="s">
        <v>886</v>
      </c>
      <c r="BJ1" s="1" t="s">
        <v>887</v>
      </c>
      <c r="BK1" s="1" t="s">
        <v>888</v>
      </c>
      <c r="BL1" s="1" t="s">
        <v>889</v>
      </c>
      <c r="BM1" s="1" t="s">
        <v>890</v>
      </c>
      <c r="BN1" s="1" t="s">
        <v>891</v>
      </c>
      <c r="BO1" s="1" t="s">
        <v>892</v>
      </c>
      <c r="BP1" s="1" t="s">
        <v>893</v>
      </c>
      <c r="BQ1" s="1" t="s">
        <v>237</v>
      </c>
      <c r="BR1" s="1" t="s">
        <v>894</v>
      </c>
      <c r="BS1" s="1" t="s">
        <v>895</v>
      </c>
      <c r="BT1" s="1" t="s">
        <v>896</v>
      </c>
      <c r="BU1" s="1" t="s">
        <v>897</v>
      </c>
      <c r="BV1" s="1" t="s">
        <v>898</v>
      </c>
      <c r="BW1" s="1" t="s">
        <v>899</v>
      </c>
      <c r="BX1" s="1" t="s">
        <v>900</v>
      </c>
      <c r="BY1" s="1" t="s">
        <v>901</v>
      </c>
      <c r="BZ1" s="1" t="s">
        <v>902</v>
      </c>
      <c r="CA1" s="1" t="s">
        <v>903</v>
      </c>
      <c r="CB1" s="1" t="s">
        <v>904</v>
      </c>
      <c r="CC1" s="1" t="s">
        <v>905</v>
      </c>
      <c r="CD1" s="1" t="s">
        <v>906</v>
      </c>
      <c r="CE1" s="1" t="s">
        <v>907</v>
      </c>
      <c r="CF1" s="1" t="s">
        <v>908</v>
      </c>
      <c r="CG1" s="1" t="s">
        <v>909</v>
      </c>
      <c r="CH1" s="1" t="s">
        <v>910</v>
      </c>
      <c r="CI1" s="1" t="s">
        <v>911</v>
      </c>
      <c r="CJ1" s="1" t="s">
        <v>912</v>
      </c>
      <c r="CK1" s="1" t="s">
        <v>913</v>
      </c>
      <c r="CL1" s="1" t="s">
        <v>914</v>
      </c>
      <c r="CM1" s="1" t="s">
        <v>915</v>
      </c>
      <c r="CN1" s="1" t="s">
        <v>916</v>
      </c>
      <c r="CO1" s="1" t="s">
        <v>917</v>
      </c>
      <c r="CP1" s="1" t="s">
        <v>918</v>
      </c>
      <c r="CQ1" s="1" t="s">
        <v>919</v>
      </c>
      <c r="CR1" s="1" t="s">
        <v>920</v>
      </c>
      <c r="CS1" s="1" t="s">
        <v>921</v>
      </c>
      <c r="CT1" s="1" t="s">
        <v>922</v>
      </c>
      <c r="CU1" s="1" t="s">
        <v>923</v>
      </c>
      <c r="CV1" s="1" t="s">
        <v>924</v>
      </c>
      <c r="CW1" s="1" t="s">
        <v>925</v>
      </c>
      <c r="CX1" s="1" t="s">
        <v>926</v>
      </c>
      <c r="CY1" s="1" t="s">
        <v>927</v>
      </c>
      <c r="CZ1" s="1" t="s">
        <v>928</v>
      </c>
      <c r="DA1" s="1" t="s">
        <v>929</v>
      </c>
      <c r="DB1" s="1" t="s">
        <v>930</v>
      </c>
      <c r="DC1" s="1" t="s">
        <v>931</v>
      </c>
      <c r="DD1" s="1" t="s">
        <v>932</v>
      </c>
      <c r="DE1" s="1" t="s">
        <v>933</v>
      </c>
      <c r="DF1" s="1" t="s">
        <v>934</v>
      </c>
      <c r="DG1" s="1" t="s">
        <v>935</v>
      </c>
    </row>
    <row r="2" spans="1:111">
      <c r="A2" s="1" t="s">
        <v>153</v>
      </c>
      <c r="B2" s="1" t="s">
        <v>154</v>
      </c>
      <c r="C2" s="1" t="s">
        <v>154</v>
      </c>
      <c r="D2" s="1" t="s">
        <v>154</v>
      </c>
      <c r="E2" s="1" t="s">
        <v>153</v>
      </c>
      <c r="F2" s="1" t="s">
        <v>153</v>
      </c>
      <c r="G2" s="1" t="s">
        <v>153</v>
      </c>
      <c r="H2" s="1" t="s">
        <v>153</v>
      </c>
      <c r="I2" s="1" t="s">
        <v>153</v>
      </c>
      <c r="J2" s="1" t="s">
        <v>153</v>
      </c>
      <c r="K2" s="1" t="s">
        <v>153</v>
      </c>
      <c r="L2" s="1" t="s">
        <v>153</v>
      </c>
      <c r="M2" s="1" t="s">
        <v>155</v>
      </c>
      <c r="N2" s="1" t="s">
        <v>155</v>
      </c>
      <c r="O2" s="1" t="s">
        <v>153</v>
      </c>
      <c r="P2" s="1" t="s">
        <v>153</v>
      </c>
      <c r="Q2" s="1" t="s">
        <v>155</v>
      </c>
      <c r="R2" s="1" t="s">
        <v>153</v>
      </c>
      <c r="S2" s="1" t="s">
        <v>153</v>
      </c>
      <c r="T2" s="1" t="s">
        <v>155</v>
      </c>
      <c r="U2" s="1" t="s">
        <v>153</v>
      </c>
      <c r="V2" s="1" t="s">
        <v>153</v>
      </c>
      <c r="W2" s="1" t="s">
        <v>153</v>
      </c>
      <c r="X2" s="1" t="s">
        <v>153</v>
      </c>
      <c r="Y2" s="1" t="s">
        <v>153</v>
      </c>
      <c r="Z2" s="1" t="s">
        <v>155</v>
      </c>
      <c r="AA2" s="1" t="s">
        <v>153</v>
      </c>
      <c r="AB2" s="1" t="s">
        <v>153</v>
      </c>
      <c r="AC2" s="1" t="s">
        <v>153</v>
      </c>
      <c r="AD2" s="1" t="s">
        <v>153</v>
      </c>
      <c r="AE2" s="1" t="s">
        <v>153</v>
      </c>
      <c r="AF2" s="1" t="s">
        <v>153</v>
      </c>
      <c r="AG2" s="1" t="s">
        <v>153</v>
      </c>
      <c r="AH2" s="1" t="s">
        <v>153</v>
      </c>
      <c r="AI2" s="1" t="s">
        <v>153</v>
      </c>
      <c r="AJ2" s="1" t="s">
        <v>153</v>
      </c>
      <c r="AK2" s="1" t="s">
        <v>153</v>
      </c>
      <c r="AL2" s="1" t="s">
        <v>155</v>
      </c>
      <c r="AM2" s="1" t="s">
        <v>153</v>
      </c>
      <c r="AN2" s="1" t="s">
        <v>153</v>
      </c>
      <c r="AO2" s="1" t="s">
        <v>153</v>
      </c>
      <c r="AP2" s="1" t="s">
        <v>153</v>
      </c>
      <c r="AQ2" s="1" t="s">
        <v>153</v>
      </c>
      <c r="AR2" s="1" t="s">
        <v>153</v>
      </c>
      <c r="AS2" s="1" t="s">
        <v>153</v>
      </c>
      <c r="AT2" s="1" t="s">
        <v>153</v>
      </c>
      <c r="AU2" s="1" t="s">
        <v>153</v>
      </c>
      <c r="AV2" s="1" t="s">
        <v>153</v>
      </c>
      <c r="AW2" s="1" t="s">
        <v>153</v>
      </c>
      <c r="AX2" s="1" t="s">
        <v>155</v>
      </c>
      <c r="AY2" s="1" t="s">
        <v>155</v>
      </c>
      <c r="AZ2" s="1" t="s">
        <v>153</v>
      </c>
      <c r="BA2" s="1" t="s">
        <v>155</v>
      </c>
      <c r="BB2" s="1" t="s">
        <v>153</v>
      </c>
      <c r="BC2" s="1" t="s">
        <v>153</v>
      </c>
      <c r="BD2" s="1" t="s">
        <v>153</v>
      </c>
      <c r="BE2" s="1" t="s">
        <v>153</v>
      </c>
      <c r="BF2" s="1" t="s">
        <v>153</v>
      </c>
      <c r="BG2" s="1" t="s">
        <v>153</v>
      </c>
      <c r="BH2" s="1" t="s">
        <v>153</v>
      </c>
      <c r="BI2" s="1" t="s">
        <v>153</v>
      </c>
      <c r="BJ2" s="1" t="s">
        <v>153</v>
      </c>
      <c r="BK2" s="1" t="s">
        <v>153</v>
      </c>
      <c r="BL2" s="1" t="s">
        <v>153</v>
      </c>
      <c r="BM2" s="1" t="s">
        <v>153</v>
      </c>
      <c r="BN2" s="1" t="s">
        <v>153</v>
      </c>
      <c r="BO2" s="1" t="s">
        <v>153</v>
      </c>
      <c r="BP2" s="1" t="s">
        <v>153</v>
      </c>
      <c r="BQ2" s="1" t="s">
        <v>153</v>
      </c>
      <c r="BR2" s="1" t="s">
        <v>153</v>
      </c>
      <c r="BS2" s="1" t="s">
        <v>153</v>
      </c>
      <c r="BT2" s="1" t="s">
        <v>153</v>
      </c>
      <c r="BU2" s="1" t="s">
        <v>153</v>
      </c>
      <c r="BV2" s="1" t="s">
        <v>153</v>
      </c>
      <c r="BW2" s="1" t="s">
        <v>153</v>
      </c>
      <c r="BX2" s="1" t="s">
        <v>153</v>
      </c>
      <c r="BY2" s="1" t="s">
        <v>153</v>
      </c>
      <c r="BZ2" s="1" t="s">
        <v>153</v>
      </c>
      <c r="CA2" s="1" t="s">
        <v>153</v>
      </c>
      <c r="CB2" s="1" t="s">
        <v>153</v>
      </c>
      <c r="CC2" s="1" t="s">
        <v>153</v>
      </c>
      <c r="CD2" s="1" t="s">
        <v>153</v>
      </c>
      <c r="CE2" s="1" t="s">
        <v>155</v>
      </c>
      <c r="CF2" s="1" t="s">
        <v>155</v>
      </c>
      <c r="CG2" s="1" t="s">
        <v>153</v>
      </c>
      <c r="CH2" s="1" t="s">
        <v>153</v>
      </c>
      <c r="CI2" s="1" t="s">
        <v>153</v>
      </c>
      <c r="CJ2" s="1" t="s">
        <v>153</v>
      </c>
      <c r="CK2" s="1" t="s">
        <v>153</v>
      </c>
      <c r="CL2" s="1" t="s">
        <v>153</v>
      </c>
      <c r="CM2" s="1" t="s">
        <v>155</v>
      </c>
      <c r="CN2" s="1" t="s">
        <v>154</v>
      </c>
      <c r="CO2" s="1" t="s">
        <v>153</v>
      </c>
      <c r="CP2" s="1" t="s">
        <v>153</v>
      </c>
      <c r="CQ2" s="1" t="s">
        <v>153</v>
      </c>
      <c r="CR2" s="1" t="s">
        <v>153</v>
      </c>
      <c r="CS2" s="1" t="s">
        <v>153</v>
      </c>
      <c r="CT2" s="1" t="s">
        <v>155</v>
      </c>
      <c r="CU2" s="1" t="s">
        <v>153</v>
      </c>
      <c r="CV2" s="1" t="s">
        <v>153</v>
      </c>
      <c r="CW2" s="1" t="s">
        <v>153</v>
      </c>
      <c r="CX2" s="1" t="s">
        <v>153</v>
      </c>
      <c r="CY2" s="1" t="s">
        <v>153</v>
      </c>
      <c r="CZ2" s="1" t="s">
        <v>153</v>
      </c>
      <c r="DA2" s="1" t="s">
        <v>153</v>
      </c>
      <c r="DB2" s="1" t="s">
        <v>153</v>
      </c>
      <c r="DC2" s="1" t="s">
        <v>153</v>
      </c>
      <c r="DD2" s="1" t="s">
        <v>153</v>
      </c>
      <c r="DE2" s="1" t="s">
        <v>153</v>
      </c>
      <c r="DF2" s="1" t="s">
        <v>153</v>
      </c>
      <c r="DG2" s="1" t="s">
        <v>153</v>
      </c>
    </row>
    <row r="3" spans="1:111">
      <c r="A3" s="1" t="s">
        <v>936</v>
      </c>
      <c r="B3" s="1"/>
      <c r="C3" s="1"/>
      <c r="D3" s="1"/>
      <c r="E3" s="1"/>
      <c r="F3" s="1"/>
      <c r="G3" s="1" t="s">
        <v>279</v>
      </c>
      <c r="H3" s="1" t="s">
        <v>279</v>
      </c>
      <c r="I3" s="1" t="s">
        <v>279</v>
      </c>
      <c r="J3" s="1" t="s">
        <v>279</v>
      </c>
      <c r="K3" s="1" t="s">
        <v>279</v>
      </c>
      <c r="L3" s="1"/>
      <c r="M3" s="1" t="s">
        <v>279</v>
      </c>
      <c r="N3" s="1" t="s">
        <v>279</v>
      </c>
      <c r="O3" s="1" t="s">
        <v>279</v>
      </c>
      <c r="P3" s="1" t="s">
        <v>279</v>
      </c>
      <c r="Q3" s="1" t="s">
        <v>279</v>
      </c>
      <c r="R3" s="1"/>
      <c r="S3" s="1" t="s">
        <v>279</v>
      </c>
      <c r="T3" s="1" t="s">
        <v>279</v>
      </c>
      <c r="U3" s="1" t="s">
        <v>279</v>
      </c>
      <c r="V3" s="1" t="s">
        <v>279</v>
      </c>
      <c r="W3" s="1" t="s">
        <v>279</v>
      </c>
      <c r="X3" s="1" t="s">
        <v>279</v>
      </c>
      <c r="Y3" s="1"/>
      <c r="Z3" s="1"/>
      <c r="AA3" s="1"/>
      <c r="AB3" s="1" t="s">
        <v>279</v>
      </c>
      <c r="AC3" s="1" t="s">
        <v>279</v>
      </c>
      <c r="AD3" s="1"/>
      <c r="AE3" s="1"/>
      <c r="AF3" s="1" t="s">
        <v>279</v>
      </c>
      <c r="AG3" s="1" t="s">
        <v>279</v>
      </c>
      <c r="AH3" s="1" t="s">
        <v>279</v>
      </c>
      <c r="AI3" s="1"/>
      <c r="AJ3" s="1" t="s">
        <v>279</v>
      </c>
      <c r="AK3" s="1" t="s">
        <v>279</v>
      </c>
      <c r="AL3" s="1" t="s">
        <v>279</v>
      </c>
      <c r="AM3" s="1" t="s">
        <v>279</v>
      </c>
      <c r="AN3" s="1"/>
      <c r="AO3" s="1" t="s">
        <v>279</v>
      </c>
      <c r="AP3" s="1" t="s">
        <v>279</v>
      </c>
      <c r="AQ3" s="1" t="s">
        <v>279</v>
      </c>
      <c r="AR3" s="1" t="s">
        <v>279</v>
      </c>
      <c r="AS3" s="1" t="s">
        <v>279</v>
      </c>
      <c r="AT3" s="1" t="s">
        <v>279</v>
      </c>
      <c r="AU3" s="1" t="s">
        <v>279</v>
      </c>
      <c r="AV3" s="1" t="s">
        <v>279</v>
      </c>
      <c r="AW3" s="1" t="s">
        <v>279</v>
      </c>
      <c r="AX3" s="1" t="s">
        <v>279</v>
      </c>
      <c r="AY3" s="1" t="s">
        <v>279</v>
      </c>
      <c r="AZ3" s="1" t="s">
        <v>279</v>
      </c>
      <c r="BA3" s="1" t="s">
        <v>279</v>
      </c>
      <c r="BB3" s="1" t="s">
        <v>279</v>
      </c>
      <c r="BC3" s="1" t="s">
        <v>279</v>
      </c>
      <c r="BD3" s="1"/>
      <c r="BE3" s="1"/>
      <c r="BF3" s="1"/>
      <c r="BG3" s="1" t="s">
        <v>279</v>
      </c>
      <c r="BH3" s="1" t="s">
        <v>279</v>
      </c>
      <c r="BI3" s="1"/>
      <c r="BJ3" s="1"/>
      <c r="BK3" s="1"/>
      <c r="BL3" s="1" t="s">
        <v>279</v>
      </c>
      <c r="BM3" s="1" t="s">
        <v>279</v>
      </c>
      <c r="BN3" s="1"/>
      <c r="BO3" s="1" t="s">
        <v>279</v>
      </c>
      <c r="BP3" s="1"/>
      <c r="BQ3" s="1" t="s">
        <v>279</v>
      </c>
      <c r="BR3" s="1" t="s">
        <v>279</v>
      </c>
      <c r="BS3" s="1" t="s">
        <v>279</v>
      </c>
      <c r="BT3" s="1" t="s">
        <v>279</v>
      </c>
      <c r="BU3" s="1" t="s">
        <v>279</v>
      </c>
      <c r="BV3" s="1" t="s">
        <v>279</v>
      </c>
      <c r="BW3" s="1" t="s">
        <v>279</v>
      </c>
      <c r="BX3" s="1" t="s">
        <v>279</v>
      </c>
      <c r="BY3" s="1" t="s">
        <v>279</v>
      </c>
      <c r="BZ3" s="1" t="s">
        <v>279</v>
      </c>
      <c r="CA3" s="1" t="s">
        <v>279</v>
      </c>
      <c r="CB3" s="1"/>
      <c r="CC3" s="1" t="s">
        <v>279</v>
      </c>
      <c r="CD3" s="1"/>
      <c r="CE3" s="1" t="s">
        <v>279</v>
      </c>
      <c r="CF3" s="1" t="s">
        <v>279</v>
      </c>
      <c r="CG3" s="1"/>
      <c r="CH3" s="1" t="s">
        <v>279</v>
      </c>
      <c r="CI3" s="1" t="s">
        <v>279</v>
      </c>
      <c r="CJ3" s="1" t="s">
        <v>279</v>
      </c>
      <c r="CK3" s="1" t="s">
        <v>279</v>
      </c>
      <c r="CL3" s="1"/>
      <c r="CM3" s="1"/>
      <c r="CN3" s="1"/>
      <c r="CO3" s="1"/>
      <c r="CP3" s="1"/>
      <c r="CQ3" s="1"/>
      <c r="CR3" s="1"/>
      <c r="CS3" s="1" t="s">
        <v>279</v>
      </c>
      <c r="CT3" s="1"/>
      <c r="CU3" s="1" t="s">
        <v>279</v>
      </c>
      <c r="CV3" s="1"/>
      <c r="CW3" s="1"/>
      <c r="CX3" s="1" t="s">
        <v>279</v>
      </c>
      <c r="CY3" s="1"/>
      <c r="CZ3" s="1"/>
      <c r="DA3" s="1"/>
      <c r="DB3" s="1" t="s">
        <v>279</v>
      </c>
      <c r="DC3" s="1" t="s">
        <v>279</v>
      </c>
      <c r="DD3" s="1"/>
      <c r="DE3" s="1" t="s">
        <v>279</v>
      </c>
      <c r="DF3" s="1"/>
      <c r="DG3" s="1"/>
    </row>
    <row r="4" spans="1:111">
      <c r="A4" s="1" t="s">
        <v>937</v>
      </c>
      <c r="B4" s="1" t="s">
        <v>938</v>
      </c>
      <c r="C4" s="1" t="s">
        <v>939</v>
      </c>
      <c r="D4" s="1" t="s">
        <v>940</v>
      </c>
      <c r="E4" s="1" t="s">
        <v>941</v>
      </c>
      <c r="F4" s="1" t="s">
        <v>97</v>
      </c>
      <c r="G4" s="1" t="s">
        <v>942</v>
      </c>
      <c r="H4" s="1" t="s">
        <v>943</v>
      </c>
      <c r="I4" s="1" t="s">
        <v>944</v>
      </c>
      <c r="J4" s="1" t="s">
        <v>945</v>
      </c>
      <c r="K4" s="1" t="s">
        <v>946</v>
      </c>
      <c r="L4" s="1" t="s">
        <v>947</v>
      </c>
      <c r="M4" s="1" t="s">
        <v>948</v>
      </c>
      <c r="N4" s="1" t="s">
        <v>949</v>
      </c>
      <c r="O4" s="1" t="s">
        <v>950</v>
      </c>
      <c r="P4" s="1" t="s">
        <v>951</v>
      </c>
      <c r="Q4" s="1" t="s">
        <v>952</v>
      </c>
      <c r="R4" s="1" t="s">
        <v>953</v>
      </c>
      <c r="S4" s="1" t="s">
        <v>954</v>
      </c>
      <c r="T4" s="1" t="s">
        <v>955</v>
      </c>
      <c r="U4" s="1" t="s">
        <v>956</v>
      </c>
      <c r="V4" s="1" t="s">
        <v>957</v>
      </c>
      <c r="W4" s="1" t="s">
        <v>958</v>
      </c>
      <c r="X4" s="1" t="s">
        <v>959</v>
      </c>
      <c r="Y4" s="1" t="s">
        <v>960</v>
      </c>
      <c r="Z4" s="1" t="s">
        <v>961</v>
      </c>
      <c r="AA4" s="1" t="s">
        <v>962</v>
      </c>
      <c r="AB4" s="1" t="s">
        <v>963</v>
      </c>
      <c r="AC4" s="1" t="s">
        <v>964</v>
      </c>
      <c r="AD4" s="1" t="s">
        <v>965</v>
      </c>
      <c r="AE4" s="1" t="s">
        <v>966</v>
      </c>
      <c r="AF4" s="1" t="s">
        <v>967</v>
      </c>
      <c r="AG4" s="1" t="s">
        <v>968</v>
      </c>
      <c r="AH4" s="1" t="s">
        <v>969</v>
      </c>
      <c r="AI4" s="1" t="s">
        <v>970</v>
      </c>
      <c r="AJ4" s="1" t="s">
        <v>971</v>
      </c>
      <c r="AK4" s="1" t="s">
        <v>972</v>
      </c>
      <c r="AL4" s="1" t="s">
        <v>973</v>
      </c>
      <c r="AM4" s="1" t="s">
        <v>974</v>
      </c>
      <c r="AN4" s="1" t="s">
        <v>975</v>
      </c>
      <c r="AO4" s="1" t="s">
        <v>976</v>
      </c>
      <c r="AP4" s="1" t="s">
        <v>977</v>
      </c>
      <c r="AQ4" s="1" t="s">
        <v>978</v>
      </c>
      <c r="AR4" s="1" t="s">
        <v>979</v>
      </c>
      <c r="AS4" s="1" t="s">
        <v>980</v>
      </c>
      <c r="AT4" s="1" t="s">
        <v>981</v>
      </c>
      <c r="AU4" s="1" t="s">
        <v>982</v>
      </c>
      <c r="AV4" s="1" t="s">
        <v>983</v>
      </c>
      <c r="AW4" s="1" t="s">
        <v>984</v>
      </c>
      <c r="AX4" s="1" t="s">
        <v>985</v>
      </c>
      <c r="AY4" s="1" t="s">
        <v>986</v>
      </c>
      <c r="AZ4" s="1" t="s">
        <v>987</v>
      </c>
      <c r="BA4" s="1" t="s">
        <v>988</v>
      </c>
      <c r="BB4" s="1" t="s">
        <v>989</v>
      </c>
      <c r="BC4" s="1" t="s">
        <v>990</v>
      </c>
      <c r="BD4" s="1" t="s">
        <v>991</v>
      </c>
      <c r="BE4" s="1" t="s">
        <v>992</v>
      </c>
      <c r="BF4" s="1" t="s">
        <v>993</v>
      </c>
      <c r="BG4" s="1" t="s">
        <v>994</v>
      </c>
      <c r="BH4" s="1" t="s">
        <v>995</v>
      </c>
      <c r="BI4" s="1" t="s">
        <v>996</v>
      </c>
      <c r="BJ4" s="1" t="s">
        <v>997</v>
      </c>
      <c r="BK4" s="1" t="s">
        <v>998</v>
      </c>
      <c r="BL4" s="1" t="s">
        <v>999</v>
      </c>
      <c r="BM4" s="1" t="s">
        <v>1000</v>
      </c>
      <c r="BN4" s="1" t="s">
        <v>1001</v>
      </c>
      <c r="BO4" s="1" t="s">
        <v>1002</v>
      </c>
      <c r="BP4" s="1" t="s">
        <v>1003</v>
      </c>
      <c r="BQ4" s="1" t="s">
        <v>1004</v>
      </c>
      <c r="BR4" s="1" t="s">
        <v>1005</v>
      </c>
      <c r="BS4" s="1" t="s">
        <v>1006</v>
      </c>
      <c r="BT4" s="1" t="s">
        <v>1005</v>
      </c>
      <c r="BU4" s="1" t="s">
        <v>1006</v>
      </c>
      <c r="BV4" s="1" t="s">
        <v>1007</v>
      </c>
      <c r="BW4" s="1" t="s">
        <v>1008</v>
      </c>
      <c r="BX4" s="1" t="s">
        <v>1009</v>
      </c>
      <c r="BY4" s="1" t="s">
        <v>1010</v>
      </c>
      <c r="BZ4" s="1" t="s">
        <v>1011</v>
      </c>
      <c r="CA4" s="1" t="s">
        <v>1012</v>
      </c>
      <c r="CB4" s="1" t="s">
        <v>1013</v>
      </c>
      <c r="CC4" s="1" t="s">
        <v>1014</v>
      </c>
      <c r="CD4" s="1" t="s">
        <v>1015</v>
      </c>
      <c r="CE4" s="1" t="s">
        <v>1016</v>
      </c>
      <c r="CF4" s="1" t="s">
        <v>1017</v>
      </c>
      <c r="CG4" s="1" t="s">
        <v>1018</v>
      </c>
      <c r="CH4" s="1" t="s">
        <v>1019</v>
      </c>
      <c r="CI4" s="1" t="s">
        <v>1020</v>
      </c>
      <c r="CJ4" s="4" t="s">
        <v>1021</v>
      </c>
      <c r="CK4" s="1" t="s">
        <v>1022</v>
      </c>
      <c r="CL4" s="1" t="s">
        <v>1023</v>
      </c>
      <c r="CM4" s="1" t="s">
        <v>1024</v>
      </c>
      <c r="CN4" s="1" t="s">
        <v>1025</v>
      </c>
      <c r="CO4" s="1" t="s">
        <v>1026</v>
      </c>
      <c r="CP4" s="1" t="s">
        <v>1027</v>
      </c>
      <c r="CQ4" s="1" t="s">
        <v>1028</v>
      </c>
      <c r="CR4" s="1" t="s">
        <v>1029</v>
      </c>
      <c r="CS4" s="1" t="s">
        <v>1030</v>
      </c>
      <c r="CT4" s="1" t="s">
        <v>1031</v>
      </c>
      <c r="CU4" s="1" t="s">
        <v>1032</v>
      </c>
      <c r="CV4" s="1" t="s">
        <v>1033</v>
      </c>
      <c r="CW4" s="1" t="s">
        <v>1034</v>
      </c>
      <c r="CX4" s="1" t="s">
        <v>1035</v>
      </c>
      <c r="CY4" s="1" t="s">
        <v>1036</v>
      </c>
      <c r="CZ4" s="1" t="s">
        <v>1037</v>
      </c>
      <c r="DA4" s="1" t="s">
        <v>1038</v>
      </c>
      <c r="DB4" s="1" t="s">
        <v>1039</v>
      </c>
      <c r="DC4" s="1" t="s">
        <v>1040</v>
      </c>
      <c r="DD4" s="1" t="s">
        <v>1041</v>
      </c>
      <c r="DE4" s="1" t="s">
        <v>1042</v>
      </c>
      <c r="DF4" s="1" t="s">
        <v>1043</v>
      </c>
      <c r="DG4" s="1" t="s">
        <v>1044</v>
      </c>
    </row>
    <row r="5" spans="1:111">
      <c r="A5" s="1">
        <f>捏造NPC!A5</f>
        <v>1000</v>
      </c>
      <c r="B5" s="1" t="str">
        <f>IF($A5="","",捏造NPC!E5)</f>
        <v>资12-军衔-夏风</v>
      </c>
      <c r="C5" s="1" t="str">
        <f>IF($A5="","",捏造NPC!F5)</f>
        <v>夏风</v>
      </c>
      <c r="D5" s="1" t="str">
        <f>IF($A5="","",捏造NPC!G5)</f>
        <v>夏风</v>
      </c>
      <c r="E5" s="1">
        <f>IF($A5="","",捏造NPC!T5)</f>
        <v>0</v>
      </c>
      <c r="F5" s="1">
        <f>IF($A5="","",IF(捏造NPC!P5="否",1,捏造NPC!U5))</f>
        <v>1</v>
      </c>
      <c r="G5" s="1">
        <f>IF($A5="","",捏造NPC!W5)</f>
        <v>0</v>
      </c>
      <c r="H5" s="1">
        <f>IF($A5="","",IF(捏造NPC!P5="否",-1,捏造NPC!X5))</f>
        <v>-1</v>
      </c>
      <c r="I5" s="1">
        <f>IF($A5="","",IF(捏造NPC!P5="否",-1,捏造NPC!Y5))</f>
        <v>-1</v>
      </c>
      <c r="J5" s="1">
        <f>IF($A5="","",IF(捏造NPC!P5="否",2500,捏造NPC!Z5))</f>
        <v>2500</v>
      </c>
      <c r="K5" s="1">
        <f>IF($A5="","",1)</f>
        <v>1</v>
      </c>
      <c r="L5" s="1">
        <f>IF(A5="","",捏造NPC!AB5)</f>
        <v>1</v>
      </c>
      <c r="M5" s="1">
        <f>IF(捏造NPC!P5="否",0,IF(捏造NPC!P5="是",500,""))</f>
        <v>0</v>
      </c>
      <c r="N5" s="1">
        <f>IF(捏造NPC!P5="否",0,IF(捏造NPC!P5="是",12,""))</f>
        <v>0</v>
      </c>
      <c r="O5" s="1"/>
      <c r="P5" s="1">
        <f>IF($A5="","",0)</f>
        <v>0</v>
      </c>
      <c r="Q5" s="1">
        <f>IF($A5="","",0)</f>
        <v>0</v>
      </c>
      <c r="R5" s="1">
        <f>IF($A5="","",3000)</f>
        <v>3000</v>
      </c>
      <c r="S5" s="1">
        <f>IF($A5="","",2000)</f>
        <v>2000</v>
      </c>
      <c r="T5" s="1">
        <f>IF(A5="","",捏造NPC!AE5)</f>
        <v>0</v>
      </c>
      <c r="U5" s="1">
        <f>IF($A5="","",-1)</f>
        <v>-1</v>
      </c>
      <c r="V5" s="1">
        <f>IF($A5="","",-1)</f>
        <v>-1</v>
      </c>
      <c r="W5" s="1">
        <f>IF($A5="","",-1)</f>
        <v>-1</v>
      </c>
      <c r="X5" s="1">
        <f>IF($A5="","",-1)</f>
        <v>-1</v>
      </c>
      <c r="Y5" s="1">
        <f>IF($A5="","",IF(捏造NPC!R5="",-1,$A5))</f>
        <v>1000</v>
      </c>
      <c r="Z5" s="1">
        <f>IF($A5="","",2)</f>
        <v>2</v>
      </c>
      <c r="AA5" s="1">
        <f>IF($A5="","",-1)</f>
        <v>-1</v>
      </c>
      <c r="AB5" s="1">
        <f>IF($A5="","",-1)</f>
        <v>-1</v>
      </c>
      <c r="AC5" s="1">
        <f>IF($A5="","",-1)</f>
        <v>-1</v>
      </c>
      <c r="AD5" s="1">
        <f>IF($A5="","",0)</f>
        <v>0</v>
      </c>
      <c r="AE5" s="1">
        <f>IF($A5="","",4)</f>
        <v>4</v>
      </c>
      <c r="AF5" s="1">
        <f>IF($A5="","",1)</f>
        <v>1</v>
      </c>
      <c r="AG5" s="1">
        <f>IF($A5="","",10)</f>
        <v>10</v>
      </c>
      <c r="AH5" s="1">
        <f>IF($A5="","",1)</f>
        <v>1</v>
      </c>
      <c r="AI5" s="1">
        <f>IF($A5="","",捏造NPC!Q5)</f>
        <v>0</v>
      </c>
      <c r="AJ5" s="1">
        <f>IF($A5="","",0)</f>
        <v>0</v>
      </c>
      <c r="AK5" s="1">
        <f>IF($A5="","",0)</f>
        <v>0</v>
      </c>
      <c r="AL5" s="1">
        <f>IF($A5="","",0)</f>
        <v>0</v>
      </c>
      <c r="AM5" s="1">
        <f>IF($A5="","",-1)</f>
        <v>-1</v>
      </c>
      <c r="AN5" s="1">
        <f>IF($A5="","",0)</f>
        <v>0</v>
      </c>
      <c r="AO5" s="1">
        <f>IF($A5="","",0)</f>
        <v>0</v>
      </c>
      <c r="AP5" s="1">
        <f>IF($A5="","",-1)</f>
        <v>-1</v>
      </c>
      <c r="AQ5" s="1">
        <f>IF($A5="","",-1)</f>
        <v>-1</v>
      </c>
      <c r="AR5" s="1">
        <f>IF($A5="","",-1)</f>
        <v>-1</v>
      </c>
      <c r="AS5" s="1">
        <f>IF($A5="","",-1)</f>
        <v>-1</v>
      </c>
      <c r="AT5" s="1">
        <f>IF($A5="","",-1)</f>
        <v>-1</v>
      </c>
      <c r="AU5" s="1">
        <f>IF($A5="","",-1)</f>
        <v>-1</v>
      </c>
      <c r="AV5" s="1">
        <f>IF($A5="","",0)</f>
        <v>0</v>
      </c>
      <c r="AW5" s="1">
        <f>IF($A5="","",0)</f>
        <v>0</v>
      </c>
      <c r="AX5" s="1">
        <f>IF($A5="","",0)</f>
        <v>0</v>
      </c>
      <c r="AY5" s="1">
        <f>IF($A5="","",0)</f>
        <v>0</v>
      </c>
      <c r="AZ5" s="1">
        <f>IF($A5="","",0)</f>
        <v>0</v>
      </c>
      <c r="BA5" s="1">
        <f>IF($A5="","",0)</f>
        <v>0</v>
      </c>
      <c r="BB5" s="1">
        <f>IF($A5="","",-1)</f>
        <v>-1</v>
      </c>
      <c r="BC5" s="1">
        <f>IF($A5="","",-1)</f>
        <v>-1</v>
      </c>
      <c r="BD5" s="1">
        <f>IF($A5="","",-1)</f>
        <v>-1</v>
      </c>
      <c r="BE5" s="1">
        <f>IF($A5="","",-1)</f>
        <v>-1</v>
      </c>
      <c r="BF5" s="1">
        <f>IF($A5="","",1)</f>
        <v>1</v>
      </c>
      <c r="BG5" s="1">
        <f>IF($A5="","",7)</f>
        <v>7</v>
      </c>
      <c r="BH5" s="1">
        <f>IF($A5="","",0)</f>
        <v>0</v>
      </c>
      <c r="BI5" s="1">
        <f>IF($A5="","",0)</f>
        <v>0</v>
      </c>
      <c r="BJ5" s="1">
        <f>IF($A5="","",0)</f>
        <v>0</v>
      </c>
      <c r="BK5" s="1">
        <f>IF($A5="","",-1)</f>
        <v>-1</v>
      </c>
      <c r="BL5" s="1">
        <f>IF($A5="","",-1)</f>
        <v>-1</v>
      </c>
      <c r="BM5" s="1">
        <f>IF($A5="","",0)</f>
        <v>0</v>
      </c>
      <c r="BN5" s="1">
        <f>IF($A5="","",-1)</f>
        <v>-1</v>
      </c>
      <c r="BO5" s="1">
        <f>IF($A5="","",0)</f>
        <v>0</v>
      </c>
      <c r="BP5" s="1">
        <f>IF($A5="","",-1)</f>
        <v>-1</v>
      </c>
      <c r="BQ5" s="1">
        <f>IF($A5="","",-1)</f>
        <v>-1</v>
      </c>
      <c r="BR5" s="1">
        <f t="shared" ref="BR5:BX5" si="0">IF($A5="","",-1)</f>
        <v>-1</v>
      </c>
      <c r="BS5" s="1">
        <f t="shared" si="0"/>
        <v>-1</v>
      </c>
      <c r="BT5" s="1">
        <f t="shared" si="0"/>
        <v>-1</v>
      </c>
      <c r="BU5" s="1">
        <f t="shared" si="0"/>
        <v>-1</v>
      </c>
      <c r="BV5" s="1">
        <f t="shared" si="0"/>
        <v>-1</v>
      </c>
      <c r="BW5" s="1">
        <f t="shared" si="0"/>
        <v>-1</v>
      </c>
      <c r="BX5" s="1">
        <f t="shared" si="0"/>
        <v>-1</v>
      </c>
      <c r="BY5" s="1">
        <f>IF($A5="","",0)</f>
        <v>0</v>
      </c>
      <c r="BZ5" s="1">
        <f>IF($A5="","",-1)</f>
        <v>-1</v>
      </c>
      <c r="CA5" s="1">
        <f>IF($A5="","",-1)</f>
        <v>-1</v>
      </c>
      <c r="CB5" s="1">
        <f>IF($A5="","",-1)</f>
        <v>-1</v>
      </c>
      <c r="CC5" s="1">
        <f>IF($A5="","",-1)</f>
        <v>-1</v>
      </c>
      <c r="CD5" s="1">
        <f>IF($A5="","",0)</f>
        <v>0</v>
      </c>
      <c r="CE5" s="1">
        <f>IF($A5="","",2)</f>
        <v>2</v>
      </c>
      <c r="CF5" s="1">
        <f>IF($A5="","",1)</f>
        <v>1</v>
      </c>
      <c r="CG5" s="1">
        <f>IF($A5="","",-1)</f>
        <v>-1</v>
      </c>
      <c r="CH5" s="1">
        <f>IF($A5="","",0)</f>
        <v>0</v>
      </c>
      <c r="CI5" s="1">
        <f>IF($A5="","",1)</f>
        <v>1</v>
      </c>
      <c r="CJ5" s="1">
        <f>IF($A5="","",IF(捏造NPC!P5="否",-1,捏造NPC!AC5))</f>
        <v>-1</v>
      </c>
      <c r="CK5" s="1">
        <f>IF($A5="","",0)</f>
        <v>0</v>
      </c>
      <c r="CL5" s="1">
        <f>IF($A5="","",1)</f>
        <v>1</v>
      </c>
      <c r="CM5" s="1">
        <f>IF($A5="","",0)</f>
        <v>0</v>
      </c>
      <c r="CN5" s="1" t="str">
        <f>IF($A5="","","[000000]")</f>
        <v>[000000]</v>
      </c>
      <c r="CO5" s="1">
        <f>IF($A5="","",-1)</f>
        <v>-1</v>
      </c>
      <c r="CP5" s="1">
        <f>IF($A5="","",-1)</f>
        <v>-1</v>
      </c>
      <c r="CQ5" s="1">
        <f>IF($A5="","",1)</f>
        <v>1</v>
      </c>
      <c r="CR5" s="1">
        <f>IF($A5="","",0)</f>
        <v>0</v>
      </c>
      <c r="CS5" s="1">
        <f>IF($A5="","",-1)</f>
        <v>-1</v>
      </c>
      <c r="CT5" s="1">
        <f>IF($A5="","",1)</f>
        <v>1</v>
      </c>
      <c r="CU5" s="1">
        <f>IF($A5="","",-1)</f>
        <v>-1</v>
      </c>
      <c r="CV5" s="1">
        <f>IF($A5="","",0)</f>
        <v>0</v>
      </c>
      <c r="CW5" s="1">
        <f>IF($A5="","",1)</f>
        <v>1</v>
      </c>
      <c r="CX5" s="1">
        <f>IF($A5="","",-1)</f>
        <v>-1</v>
      </c>
      <c r="CY5" s="1">
        <f>IF($A5="","",-1)</f>
        <v>-1</v>
      </c>
      <c r="CZ5" s="1">
        <f>IF($A5="","",0)</f>
        <v>0</v>
      </c>
      <c r="DA5" s="1">
        <f>IF($A5="","",-1)</f>
        <v>-1</v>
      </c>
      <c r="DB5" s="1">
        <f>IF($A5="","",-1)</f>
        <v>-1</v>
      </c>
      <c r="DC5" s="1">
        <f>IF($A5="","",0)</f>
        <v>0</v>
      </c>
      <c r="DD5" s="1">
        <f>IF($A5="","",0)</f>
        <v>0</v>
      </c>
      <c r="DE5" s="1">
        <f>IF($A5="","",0)</f>
        <v>0</v>
      </c>
      <c r="DF5" s="1">
        <f>IF($A5="","",0)</f>
        <v>0</v>
      </c>
      <c r="DG5" s="1">
        <f>IF($A5="","",25)</f>
        <v>25</v>
      </c>
    </row>
    <row r="6" spans="1:111">
      <c r="A6" s="1">
        <f>捏造NPC!A6</f>
        <v>1001</v>
      </c>
      <c r="B6" s="1" t="str">
        <f>IF($A6="","",捏造NPC!E6)</f>
        <v>资13-军衔-翼楠</v>
      </c>
      <c r="C6" s="1" t="str">
        <f>IF($A6="","",捏造NPC!F6)</f>
        <v>翼楠</v>
      </c>
      <c r="D6" s="1" t="str">
        <f>IF($A6="","",捏造NPC!G6)</f>
        <v>翼楠</v>
      </c>
      <c r="E6" s="1">
        <f>IF($A6="","",捏造NPC!T6)</f>
        <v>1</v>
      </c>
      <c r="F6" s="1">
        <f>IF($A6="","",IF(捏造NPC!P6="否",1,捏造NPC!U6))</f>
        <v>99</v>
      </c>
      <c r="G6" s="1">
        <f>IF($A6="","",捏造NPC!W6)</f>
        <v>1</v>
      </c>
      <c r="H6" s="1">
        <f>IF($A6="","",IF(捏造NPC!P6="否",-1,捏造NPC!X6))</f>
        <v>111</v>
      </c>
      <c r="I6" s="1">
        <f>IF($A6="","",IF(捏造NPC!P6="否",-1,捏造NPC!Y6))</f>
        <v>111</v>
      </c>
      <c r="J6" s="1">
        <f>IF($A6="","",IF(捏造NPC!P6="否",2500,捏造NPC!Z6))</f>
        <v>111</v>
      </c>
      <c r="K6" s="1">
        <f>IF($A6="","",1)</f>
        <v>1</v>
      </c>
      <c r="L6" s="1">
        <f>IF(A6="","",捏造NPC!AB6)</f>
        <v>3</v>
      </c>
      <c r="M6" s="1">
        <f>IF(捏造NPC!P6="否",0,IF(捏造NPC!P6="是",500,""))</f>
        <v>500</v>
      </c>
      <c r="N6" s="1">
        <f>IF(捏造NPC!P6="否",0,IF(捏造NPC!P6="是",12,""))</f>
        <v>12</v>
      </c>
      <c r="O6" s="1"/>
      <c r="P6" s="1">
        <f t="shared" ref="P6:P24" si="1">IF($A6="","",0)</f>
        <v>0</v>
      </c>
      <c r="Q6" s="1">
        <f t="shared" ref="Q6:Q24" si="2">IF($A6="","",0)</f>
        <v>0</v>
      </c>
      <c r="R6" s="1">
        <f>IF($A6="","",3000)</f>
        <v>3000</v>
      </c>
      <c r="S6" s="1">
        <f t="shared" ref="S6:S24" si="3">IF($A6="","",2000)</f>
        <v>2000</v>
      </c>
      <c r="T6" s="1">
        <f>IF(A6="","",捏造NPC!AE6)</f>
        <v>1</v>
      </c>
      <c r="U6" s="1">
        <f t="shared" ref="U6:U24" si="4">IF($A6="","",-1)</f>
        <v>-1</v>
      </c>
      <c r="V6" s="1">
        <f t="shared" ref="V6:V24" si="5">IF($A6="","",-1)</f>
        <v>-1</v>
      </c>
      <c r="W6" s="1">
        <f t="shared" ref="W6:W24" si="6">IF($A6="","",-1)</f>
        <v>-1</v>
      </c>
      <c r="X6" s="1">
        <f t="shared" ref="X6:X24" si="7">IF($A6="","",-1)</f>
        <v>-1</v>
      </c>
      <c r="Y6" s="1">
        <f>IF($A6="","",IF(捏造NPC!R6="",-1,$A6))</f>
        <v>-1</v>
      </c>
      <c r="Z6" s="1">
        <f t="shared" ref="Z6:Z24" si="8">IF($A6="","",2)</f>
        <v>2</v>
      </c>
      <c r="AA6" s="1">
        <f t="shared" ref="AA6:AA24" si="9">IF($A6="","",-1)</f>
        <v>-1</v>
      </c>
      <c r="AB6" s="1">
        <f t="shared" ref="AB6:AB24" si="10">IF($A6="","",-1)</f>
        <v>-1</v>
      </c>
      <c r="AC6" s="1">
        <f t="shared" ref="AC6:AC24" si="11">IF($A6="","",-1)</f>
        <v>-1</v>
      </c>
      <c r="AD6" s="1">
        <f t="shared" ref="AD6:AD24" si="12">IF($A6="","",0)</f>
        <v>0</v>
      </c>
      <c r="AE6" s="1">
        <f t="shared" ref="AE6:AE24" si="13">IF($A6="","",4)</f>
        <v>4</v>
      </c>
      <c r="AF6" s="1">
        <f t="shared" ref="AF6:AF24" si="14">IF($A6="","",1)</f>
        <v>1</v>
      </c>
      <c r="AG6" s="1">
        <f t="shared" ref="AG6:AG24" si="15">IF($A6="","",10)</f>
        <v>10</v>
      </c>
      <c r="AH6" s="1">
        <f t="shared" ref="AH6:AH23" si="16">IF($A6="","",1)</f>
        <v>1</v>
      </c>
      <c r="AI6" s="1">
        <f>IF($A6="","",捏造NPC!Q6)</f>
        <v>1</v>
      </c>
      <c r="AJ6" s="1">
        <f t="shared" ref="AJ6:AJ24" si="17">IF($A6="","",0)</f>
        <v>0</v>
      </c>
      <c r="AK6" s="1">
        <f t="shared" ref="AK6:AK24" si="18">IF($A6="","",0)</f>
        <v>0</v>
      </c>
      <c r="AL6" s="1">
        <f t="shared" ref="AL6:AL24" si="19">IF($A6="","",0)</f>
        <v>0</v>
      </c>
      <c r="AM6" s="1">
        <f t="shared" ref="AM6:AM24" si="20">IF($A6="","",-1)</f>
        <v>-1</v>
      </c>
      <c r="AN6" s="1">
        <f t="shared" ref="AN6:AN24" si="21">IF($A6="","",0)</f>
        <v>0</v>
      </c>
      <c r="AO6" s="1">
        <f t="shared" ref="AO6:AO24" si="22">IF($A6="","",0)</f>
        <v>0</v>
      </c>
      <c r="AP6" s="1">
        <f t="shared" ref="AP6:AP24" si="23">IF($A6="","",-1)</f>
        <v>-1</v>
      </c>
      <c r="AQ6" s="1">
        <f t="shared" ref="AQ6:AQ24" si="24">IF($A6="","",-1)</f>
        <v>-1</v>
      </c>
      <c r="AR6" s="1">
        <f t="shared" ref="AR6:AR24" si="25">IF($A6="","",-1)</f>
        <v>-1</v>
      </c>
      <c r="AS6" s="1">
        <f t="shared" ref="AS6:AS24" si="26">IF($A6="","",-1)</f>
        <v>-1</v>
      </c>
      <c r="AT6" s="1">
        <f t="shared" ref="AT6:AT24" si="27">IF($A6="","",-1)</f>
        <v>-1</v>
      </c>
      <c r="AU6" s="1">
        <f t="shared" ref="AU6:AU24" si="28">IF($A6="","",-1)</f>
        <v>-1</v>
      </c>
      <c r="AV6" s="1">
        <f t="shared" ref="AV6:AV24" si="29">IF($A6="","",0)</f>
        <v>0</v>
      </c>
      <c r="AW6" s="1">
        <f t="shared" ref="AW6:AW24" si="30">IF($A6="","",0)</f>
        <v>0</v>
      </c>
      <c r="AX6" s="1">
        <f t="shared" ref="AX6:AX24" si="31">IF($A6="","",0)</f>
        <v>0</v>
      </c>
      <c r="AY6" s="1">
        <f t="shared" ref="AY6:AY24" si="32">IF($A6="","",0)</f>
        <v>0</v>
      </c>
      <c r="AZ6" s="1">
        <f t="shared" ref="AZ6:AZ24" si="33">IF($A6="","",0)</f>
        <v>0</v>
      </c>
      <c r="BA6" s="1">
        <f t="shared" ref="BA6:BA24" si="34">IF($A6="","",0)</f>
        <v>0</v>
      </c>
      <c r="BB6" s="1">
        <f t="shared" ref="BB6:BB24" si="35">IF($A6="","",-1)</f>
        <v>-1</v>
      </c>
      <c r="BC6" s="1">
        <f t="shared" ref="BC6:BC24" si="36">IF($A6="","",-1)</f>
        <v>-1</v>
      </c>
      <c r="BD6" s="1">
        <f t="shared" ref="BD6:BD24" si="37">IF($A6="","",-1)</f>
        <v>-1</v>
      </c>
      <c r="BE6" s="1">
        <f t="shared" ref="BE6:BE24" si="38">IF($A6="","",-1)</f>
        <v>-1</v>
      </c>
      <c r="BF6" s="1">
        <f t="shared" ref="BF6:BF24" si="39">IF($A6="","",1)</f>
        <v>1</v>
      </c>
      <c r="BG6" s="1">
        <f t="shared" ref="BG6:BG24" si="40">IF($A6="","",7)</f>
        <v>7</v>
      </c>
      <c r="BH6" s="1">
        <f t="shared" ref="BH6:BH24" si="41">IF($A6="","",0)</f>
        <v>0</v>
      </c>
      <c r="BI6" s="1">
        <f t="shared" ref="BI6:BI24" si="42">IF($A6="","",0)</f>
        <v>0</v>
      </c>
      <c r="BJ6" s="1">
        <f t="shared" ref="BJ6:BJ24" si="43">IF($A6="","",0)</f>
        <v>0</v>
      </c>
      <c r="BK6" s="1">
        <f t="shared" ref="BK6:BK24" si="44">IF($A6="","",-1)</f>
        <v>-1</v>
      </c>
      <c r="BL6" s="1">
        <f t="shared" ref="BL6:BL24" si="45">IF($A6="","",-1)</f>
        <v>-1</v>
      </c>
      <c r="BM6" s="1">
        <f t="shared" ref="BM6:BM24" si="46">IF($A6="","",0)</f>
        <v>0</v>
      </c>
      <c r="BN6" s="1">
        <f t="shared" ref="BN6:BN24" si="47">IF($A6="","",-1)</f>
        <v>-1</v>
      </c>
      <c r="BO6" s="1">
        <f>IF($A6="","",0)</f>
        <v>0</v>
      </c>
      <c r="BP6" s="1">
        <f t="shared" ref="BP6:BP24" si="48">IF($A6="","",-1)</f>
        <v>-1</v>
      </c>
      <c r="BQ6" s="1">
        <f t="shared" ref="BQ6:BQ24" si="49">IF($A6="","",-1)</f>
        <v>-1</v>
      </c>
      <c r="BR6" s="1">
        <f t="shared" ref="BR6:BR24" si="50">IF($A6="","",-1)</f>
        <v>-1</v>
      </c>
      <c r="BS6" s="1">
        <f t="shared" ref="BS6:BS24" si="51">IF($A6="","",-1)</f>
        <v>-1</v>
      </c>
      <c r="BT6" s="1">
        <f t="shared" ref="BT6:BT24" si="52">IF($A6="","",-1)</f>
        <v>-1</v>
      </c>
      <c r="BU6" s="1">
        <f t="shared" ref="BU6:BU24" si="53">IF($A6="","",-1)</f>
        <v>-1</v>
      </c>
      <c r="BV6" s="1">
        <f t="shared" ref="BV6:BV24" si="54">IF($A6="","",-1)</f>
        <v>-1</v>
      </c>
      <c r="BW6" s="1">
        <f t="shared" ref="BW6:BW24" si="55">IF($A6="","",-1)</f>
        <v>-1</v>
      </c>
      <c r="BX6" s="1">
        <f t="shared" ref="BX6:BX24" si="56">IF($A6="","",-1)</f>
        <v>-1</v>
      </c>
      <c r="BY6" s="1">
        <f t="shared" ref="BY6:BY24" si="57">IF($A6="","",0)</f>
        <v>0</v>
      </c>
      <c r="BZ6" s="1">
        <f t="shared" ref="BZ6:BZ24" si="58">IF($A6="","",-1)</f>
        <v>-1</v>
      </c>
      <c r="CA6" s="1">
        <f t="shared" ref="CA6:CA24" si="59">IF($A6="","",-1)</f>
        <v>-1</v>
      </c>
      <c r="CB6" s="1">
        <f t="shared" ref="CB6:CB24" si="60">IF($A6="","",-1)</f>
        <v>-1</v>
      </c>
      <c r="CC6" s="1">
        <f t="shared" ref="CC6:CC24" si="61">IF($A6="","",-1)</f>
        <v>-1</v>
      </c>
      <c r="CD6" s="1">
        <f t="shared" ref="CD6:CD24" si="62">IF($A6="","",0)</f>
        <v>0</v>
      </c>
      <c r="CE6" s="1">
        <f t="shared" ref="CE6:CE24" si="63">IF($A6="","",2)</f>
        <v>2</v>
      </c>
      <c r="CF6" s="1">
        <f t="shared" ref="CF6:CF24" si="64">IF($A6="","",1)</f>
        <v>1</v>
      </c>
      <c r="CG6" s="1">
        <f t="shared" ref="CG6:CG24" si="65">IF($A6="","",-1)</f>
        <v>-1</v>
      </c>
      <c r="CH6" s="1">
        <f t="shared" ref="CH6:CH24" si="66">IF($A6="","",0)</f>
        <v>0</v>
      </c>
      <c r="CI6" s="1">
        <f t="shared" ref="CI6:CI24" si="67">IF($A6="","",1)</f>
        <v>1</v>
      </c>
      <c r="CJ6" s="1">
        <f>IF($A6="","",IF(捏造NPC!P6="否",-1,捏造NPC!AC6))</f>
        <v>111</v>
      </c>
      <c r="CK6" s="1">
        <f t="shared" ref="CK6:CK24" si="68">IF($A6="","",0)</f>
        <v>0</v>
      </c>
      <c r="CL6" s="1">
        <f t="shared" ref="CL6:CL24" si="69">IF($A6="","",1)</f>
        <v>1</v>
      </c>
      <c r="CM6" s="1">
        <f t="shared" ref="CM6:CM24" si="70">IF($A6="","",0)</f>
        <v>0</v>
      </c>
      <c r="CN6" s="1" t="str">
        <f t="shared" ref="CN6:CN24" si="71">IF($A6="","","[000000]")</f>
        <v>[000000]</v>
      </c>
      <c r="CO6" s="1">
        <f t="shared" ref="CO6:CO24" si="72">IF($A6="","",-1)</f>
        <v>-1</v>
      </c>
      <c r="CP6" s="1">
        <f t="shared" ref="CP6:CP24" si="73">IF($A6="","",-1)</f>
        <v>-1</v>
      </c>
      <c r="CQ6" s="1">
        <f t="shared" ref="CQ6:CQ24" si="74">IF($A6="","",1)</f>
        <v>1</v>
      </c>
      <c r="CR6" s="1">
        <f t="shared" ref="CR6:CR24" si="75">IF($A6="","",0)</f>
        <v>0</v>
      </c>
      <c r="CS6" s="1">
        <f t="shared" ref="CS6:CS24" si="76">IF($A6="","",-1)</f>
        <v>-1</v>
      </c>
      <c r="CT6" s="1">
        <f t="shared" ref="CT6:CT24" si="77">IF($A6="","",1)</f>
        <v>1</v>
      </c>
      <c r="CU6" s="1">
        <f t="shared" ref="CU6:CU24" si="78">IF($A6="","",-1)</f>
        <v>-1</v>
      </c>
      <c r="CV6" s="1">
        <f t="shared" ref="CV6:CV24" si="79">IF($A6="","",0)</f>
        <v>0</v>
      </c>
      <c r="CW6" s="1">
        <f t="shared" ref="CW6:CW24" si="80">IF($A6="","",1)</f>
        <v>1</v>
      </c>
      <c r="CX6" s="1">
        <f t="shared" ref="CX6:CX24" si="81">IF($A6="","",-1)</f>
        <v>-1</v>
      </c>
      <c r="CY6" s="1">
        <f t="shared" ref="CY6:CY24" si="82">IF($A6="","",-1)</f>
        <v>-1</v>
      </c>
      <c r="CZ6" s="1">
        <f t="shared" ref="CZ6:CZ24" si="83">IF($A6="","",0)</f>
        <v>0</v>
      </c>
      <c r="DA6" s="1">
        <f t="shared" ref="DA6:DA24" si="84">IF($A6="","",-1)</f>
        <v>-1</v>
      </c>
      <c r="DB6" s="1">
        <f t="shared" ref="DB6:DB24" si="85">IF($A6="","",-1)</f>
        <v>-1</v>
      </c>
      <c r="DC6" s="1">
        <f t="shared" ref="DC6:DC24" si="86">IF($A6="","",0)</f>
        <v>0</v>
      </c>
      <c r="DD6" s="1">
        <f t="shared" ref="DD6:DD24" si="87">IF($A6="","",0)</f>
        <v>0</v>
      </c>
      <c r="DE6" s="1">
        <f t="shared" ref="DE6:DE24" si="88">IF($A6="","",0)</f>
        <v>0</v>
      </c>
      <c r="DF6" s="1">
        <f t="shared" ref="DF6:DF24" si="89">IF($A6="","",0)</f>
        <v>0</v>
      </c>
      <c r="DG6" s="1">
        <f t="shared" ref="DG6:DG24" si="90">IF($A6="","",25)</f>
        <v>25</v>
      </c>
    </row>
    <row r="7" spans="1:111">
      <c r="A7" s="1">
        <f>捏造NPC!A7</f>
        <v>1002</v>
      </c>
      <c r="B7" s="1" t="str">
        <f>IF($A7="","",捏造NPC!E7)</f>
        <v>资14-军衔-云隐</v>
      </c>
      <c r="C7" s="1" t="str">
        <f>IF($A7="","",捏造NPC!F7)</f>
        <v>云隐</v>
      </c>
      <c r="D7" s="1" t="str">
        <f>IF($A7="","",捏造NPC!G7)</f>
        <v>云隐</v>
      </c>
      <c r="E7" s="1">
        <f>IF($A7="","",捏造NPC!T7)</f>
        <v>0</v>
      </c>
      <c r="F7" s="1">
        <f>IF($A7="","",IF(捏造NPC!P7="否",1,捏造NPC!U7))</f>
        <v>1</v>
      </c>
      <c r="G7" s="1">
        <f>IF($A7="","",捏造NPC!W7)</f>
        <v>0</v>
      </c>
      <c r="H7" s="1">
        <f>IF($A7="","",IF(捏造NPC!P7="否",-1,捏造NPC!X7))</f>
        <v>-1</v>
      </c>
      <c r="I7" s="1">
        <f>IF($A7="","",IF(捏造NPC!P7="否",-1,捏造NPC!Y7))</f>
        <v>-1</v>
      </c>
      <c r="J7" s="1">
        <f>IF($A7="","",IF(捏造NPC!P7="否",2500,捏造NPC!Z7))</f>
        <v>2500</v>
      </c>
      <c r="K7" s="1">
        <f>IF($A7="","",1)</f>
        <v>1</v>
      </c>
      <c r="L7" s="1">
        <f>IF(A7="","",捏造NPC!AB7)</f>
        <v>1</v>
      </c>
      <c r="M7" s="1">
        <f>IF(捏造NPC!P7="否",0,IF(捏造NPC!P7="是",500,""))</f>
        <v>0</v>
      </c>
      <c r="N7" s="1">
        <f>IF(捏造NPC!P7="否",0,IF(捏造NPC!P7="是",12,""))</f>
        <v>0</v>
      </c>
      <c r="O7" s="1"/>
      <c r="P7" s="1">
        <f t="shared" si="1"/>
        <v>0</v>
      </c>
      <c r="Q7" s="1">
        <f t="shared" si="2"/>
        <v>0</v>
      </c>
      <c r="R7" s="1">
        <f t="shared" ref="R7:R24" si="91">IF($A7="","",3000)</f>
        <v>3000</v>
      </c>
      <c r="S7" s="1">
        <f t="shared" si="3"/>
        <v>2000</v>
      </c>
      <c r="T7" s="1">
        <f>IF(A7="","",捏造NPC!AE7)</f>
        <v>0</v>
      </c>
      <c r="U7" s="1">
        <f t="shared" si="4"/>
        <v>-1</v>
      </c>
      <c r="V7" s="1">
        <f t="shared" si="5"/>
        <v>-1</v>
      </c>
      <c r="W7" s="1">
        <f t="shared" si="6"/>
        <v>-1</v>
      </c>
      <c r="X7" s="1">
        <f t="shared" si="7"/>
        <v>-1</v>
      </c>
      <c r="Y7" s="1">
        <f>IF($A7="","",IF(捏造NPC!R7="",-1,$A7))</f>
        <v>1002</v>
      </c>
      <c r="Z7" s="1">
        <f t="shared" si="8"/>
        <v>2</v>
      </c>
      <c r="AA7" s="1">
        <f t="shared" si="9"/>
        <v>-1</v>
      </c>
      <c r="AB7" s="1">
        <f t="shared" si="10"/>
        <v>-1</v>
      </c>
      <c r="AC7" s="1">
        <f t="shared" si="11"/>
        <v>-1</v>
      </c>
      <c r="AD7" s="1">
        <f t="shared" si="12"/>
        <v>0</v>
      </c>
      <c r="AE7" s="1">
        <f t="shared" si="13"/>
        <v>4</v>
      </c>
      <c r="AF7" s="1">
        <f t="shared" si="14"/>
        <v>1</v>
      </c>
      <c r="AG7" s="1">
        <f t="shared" si="15"/>
        <v>10</v>
      </c>
      <c r="AH7" s="1">
        <f t="shared" si="16"/>
        <v>1</v>
      </c>
      <c r="AI7" s="1">
        <f>IF($A7="","",捏造NPC!Q7)</f>
        <v>0</v>
      </c>
      <c r="AJ7" s="1">
        <f t="shared" si="17"/>
        <v>0</v>
      </c>
      <c r="AK7" s="1">
        <f t="shared" si="18"/>
        <v>0</v>
      </c>
      <c r="AL7" s="1">
        <f t="shared" si="19"/>
        <v>0</v>
      </c>
      <c r="AM7" s="1">
        <f t="shared" si="20"/>
        <v>-1</v>
      </c>
      <c r="AN7" s="1">
        <f t="shared" si="21"/>
        <v>0</v>
      </c>
      <c r="AO7" s="1">
        <f t="shared" si="22"/>
        <v>0</v>
      </c>
      <c r="AP7" s="1">
        <f t="shared" si="23"/>
        <v>-1</v>
      </c>
      <c r="AQ7" s="1">
        <f t="shared" si="24"/>
        <v>-1</v>
      </c>
      <c r="AR7" s="1">
        <f t="shared" si="25"/>
        <v>-1</v>
      </c>
      <c r="AS7" s="1">
        <f t="shared" si="26"/>
        <v>-1</v>
      </c>
      <c r="AT7" s="1">
        <f t="shared" si="27"/>
        <v>-1</v>
      </c>
      <c r="AU7" s="1">
        <f t="shared" si="28"/>
        <v>-1</v>
      </c>
      <c r="AV7" s="1">
        <f t="shared" si="29"/>
        <v>0</v>
      </c>
      <c r="AW7" s="1">
        <f t="shared" si="30"/>
        <v>0</v>
      </c>
      <c r="AX7" s="1">
        <f t="shared" si="31"/>
        <v>0</v>
      </c>
      <c r="AY7" s="1">
        <f t="shared" si="32"/>
        <v>0</v>
      </c>
      <c r="AZ7" s="1">
        <f t="shared" si="33"/>
        <v>0</v>
      </c>
      <c r="BA7" s="1">
        <f t="shared" si="34"/>
        <v>0</v>
      </c>
      <c r="BB7" s="1">
        <f t="shared" si="35"/>
        <v>-1</v>
      </c>
      <c r="BC7" s="1">
        <f t="shared" si="36"/>
        <v>-1</v>
      </c>
      <c r="BD7" s="1">
        <f t="shared" si="37"/>
        <v>-1</v>
      </c>
      <c r="BE7" s="1">
        <f t="shared" si="38"/>
        <v>-1</v>
      </c>
      <c r="BF7" s="1">
        <f t="shared" si="39"/>
        <v>1</v>
      </c>
      <c r="BG7" s="1">
        <f t="shared" si="40"/>
        <v>7</v>
      </c>
      <c r="BH7" s="1">
        <f t="shared" si="41"/>
        <v>0</v>
      </c>
      <c r="BI7" s="1">
        <f t="shared" si="42"/>
        <v>0</v>
      </c>
      <c r="BJ7" s="1">
        <f t="shared" si="43"/>
        <v>0</v>
      </c>
      <c r="BK7" s="1">
        <f t="shared" si="44"/>
        <v>-1</v>
      </c>
      <c r="BL7" s="1">
        <f t="shared" si="45"/>
        <v>-1</v>
      </c>
      <c r="BM7" s="1">
        <f t="shared" si="46"/>
        <v>0</v>
      </c>
      <c r="BN7" s="1">
        <f t="shared" si="47"/>
        <v>-1</v>
      </c>
      <c r="BO7" s="1">
        <f t="shared" ref="BO6:BO24" si="92">IF($A7="","",0)</f>
        <v>0</v>
      </c>
      <c r="BP7" s="1">
        <f t="shared" si="48"/>
        <v>-1</v>
      </c>
      <c r="BQ7" s="1">
        <f t="shared" si="49"/>
        <v>-1</v>
      </c>
      <c r="BR7" s="1">
        <f t="shared" si="50"/>
        <v>-1</v>
      </c>
      <c r="BS7" s="1">
        <f t="shared" si="51"/>
        <v>-1</v>
      </c>
      <c r="BT7" s="1">
        <f t="shared" si="52"/>
        <v>-1</v>
      </c>
      <c r="BU7" s="1">
        <f t="shared" si="53"/>
        <v>-1</v>
      </c>
      <c r="BV7" s="1">
        <f t="shared" si="54"/>
        <v>-1</v>
      </c>
      <c r="BW7" s="1">
        <f t="shared" si="55"/>
        <v>-1</v>
      </c>
      <c r="BX7" s="1">
        <f t="shared" si="56"/>
        <v>-1</v>
      </c>
      <c r="BY7" s="1">
        <f t="shared" si="57"/>
        <v>0</v>
      </c>
      <c r="BZ7" s="1">
        <f t="shared" si="58"/>
        <v>-1</v>
      </c>
      <c r="CA7" s="1">
        <f t="shared" si="59"/>
        <v>-1</v>
      </c>
      <c r="CB7" s="1">
        <f t="shared" si="60"/>
        <v>-1</v>
      </c>
      <c r="CC7" s="1">
        <f t="shared" si="61"/>
        <v>-1</v>
      </c>
      <c r="CD7" s="1">
        <f t="shared" si="62"/>
        <v>0</v>
      </c>
      <c r="CE7" s="1">
        <f t="shared" si="63"/>
        <v>2</v>
      </c>
      <c r="CF7" s="1">
        <f t="shared" si="64"/>
        <v>1</v>
      </c>
      <c r="CG7" s="1">
        <f t="shared" si="65"/>
        <v>-1</v>
      </c>
      <c r="CH7" s="1">
        <f t="shared" si="66"/>
        <v>0</v>
      </c>
      <c r="CI7" s="1">
        <f t="shared" si="67"/>
        <v>1</v>
      </c>
      <c r="CJ7" s="1">
        <f>IF($A7="","",IF(捏造NPC!P7="否",-1,捏造NPC!AC7))</f>
        <v>-1</v>
      </c>
      <c r="CK7" s="1">
        <f t="shared" si="68"/>
        <v>0</v>
      </c>
      <c r="CL7" s="1">
        <f t="shared" si="69"/>
        <v>1</v>
      </c>
      <c r="CM7" s="1">
        <f t="shared" si="70"/>
        <v>0</v>
      </c>
      <c r="CN7" s="1" t="str">
        <f t="shared" si="71"/>
        <v>[000000]</v>
      </c>
      <c r="CO7" s="1">
        <f t="shared" si="72"/>
        <v>-1</v>
      </c>
      <c r="CP7" s="1">
        <f t="shared" si="73"/>
        <v>-1</v>
      </c>
      <c r="CQ7" s="1">
        <f t="shared" si="74"/>
        <v>1</v>
      </c>
      <c r="CR7" s="1">
        <f t="shared" si="75"/>
        <v>0</v>
      </c>
      <c r="CS7" s="1">
        <f t="shared" si="76"/>
        <v>-1</v>
      </c>
      <c r="CT7" s="1">
        <f t="shared" si="77"/>
        <v>1</v>
      </c>
      <c r="CU7" s="1">
        <f t="shared" si="78"/>
        <v>-1</v>
      </c>
      <c r="CV7" s="1">
        <f t="shared" si="79"/>
        <v>0</v>
      </c>
      <c r="CW7" s="1">
        <f t="shared" si="80"/>
        <v>1</v>
      </c>
      <c r="CX7" s="1">
        <f t="shared" si="81"/>
        <v>-1</v>
      </c>
      <c r="CY7" s="1">
        <f t="shared" si="82"/>
        <v>-1</v>
      </c>
      <c r="CZ7" s="1">
        <f t="shared" si="83"/>
        <v>0</v>
      </c>
      <c r="DA7" s="1">
        <f t="shared" si="84"/>
        <v>-1</v>
      </c>
      <c r="DB7" s="1">
        <f t="shared" si="85"/>
        <v>-1</v>
      </c>
      <c r="DC7" s="1">
        <f t="shared" si="86"/>
        <v>0</v>
      </c>
      <c r="DD7" s="1">
        <f t="shared" si="87"/>
        <v>0</v>
      </c>
      <c r="DE7" s="1">
        <f t="shared" si="88"/>
        <v>0</v>
      </c>
      <c r="DF7" s="1">
        <f t="shared" si="89"/>
        <v>0</v>
      </c>
      <c r="DG7" s="1">
        <f t="shared" si="90"/>
        <v>25</v>
      </c>
    </row>
    <row r="8" spans="1:111">
      <c r="A8" s="1" t="str">
        <f>捏造NPC!A8</f>
        <v/>
      </c>
      <c r="B8" s="1" t="str">
        <f>IF($A8="","",捏造NPC!E8)</f>
        <v/>
      </c>
      <c r="C8" s="1" t="str">
        <f>IF($A8="","",捏造NPC!F8)</f>
        <v/>
      </c>
      <c r="D8" s="1" t="str">
        <f>IF($A8="","",捏造NPC!G8)</f>
        <v/>
      </c>
      <c r="E8" s="1" t="str">
        <f>IF($A8="","",捏造NPC!T8)</f>
        <v/>
      </c>
      <c r="F8" s="1" t="str">
        <f>IF($A8="","",IF(捏造NPC!P8="否",1,捏造NPC!U8))</f>
        <v/>
      </c>
      <c r="G8" s="1" t="str">
        <f>IF($A8="","",捏造NPC!W8)</f>
        <v/>
      </c>
      <c r="H8" s="1" t="str">
        <f>IF($A8="","",IF(捏造NPC!P8="否",-1,捏造NPC!X8))</f>
        <v/>
      </c>
      <c r="I8" s="1" t="str">
        <f>IF($A8="","",IF(捏造NPC!P8="否",-1,捏造NPC!Y8))</f>
        <v/>
      </c>
      <c r="J8" s="1" t="str">
        <f>IF($A8="","",IF(捏造NPC!P8="否",2500,捏造NPC!Z8))</f>
        <v/>
      </c>
      <c r="K8" s="1" t="str">
        <f t="shared" ref="K8:K24" si="93">IF($A8="","",1)</f>
        <v/>
      </c>
      <c r="L8" s="1" t="str">
        <f>IF(A8="","",捏造NPC!AB8)</f>
        <v/>
      </c>
      <c r="M8" s="1" t="str">
        <f>IF(捏造NPC!P8="否",0,IF(捏造NPC!P8="是",500,""))</f>
        <v/>
      </c>
      <c r="N8" s="1" t="str">
        <f>IF(捏造NPC!P8="否",0,IF(捏造NPC!P8="是",12,""))</f>
        <v/>
      </c>
      <c r="P8" s="1" t="str">
        <f t="shared" si="1"/>
        <v/>
      </c>
      <c r="Q8" s="1" t="str">
        <f t="shared" si="2"/>
        <v/>
      </c>
      <c r="R8" s="1" t="str">
        <f t="shared" si="91"/>
        <v/>
      </c>
      <c r="S8" s="1" t="str">
        <f t="shared" si="3"/>
        <v/>
      </c>
      <c r="T8" s="1" t="str">
        <f>IF(A8="","",捏造NPC!AE8)</f>
        <v/>
      </c>
      <c r="U8" s="1" t="str">
        <f t="shared" si="4"/>
        <v/>
      </c>
      <c r="V8" s="1" t="str">
        <f t="shared" si="5"/>
        <v/>
      </c>
      <c r="W8" s="1" t="str">
        <f t="shared" si="6"/>
        <v/>
      </c>
      <c r="X8" s="1" t="str">
        <f t="shared" si="7"/>
        <v/>
      </c>
      <c r="Y8" s="1" t="str">
        <f>IF($A8="","",IF(捏造NPC!R8="",-1,$A8))</f>
        <v/>
      </c>
      <c r="Z8" s="1" t="str">
        <f t="shared" si="8"/>
        <v/>
      </c>
      <c r="AA8" s="1" t="str">
        <f t="shared" si="9"/>
        <v/>
      </c>
      <c r="AB8" s="1" t="str">
        <f t="shared" si="10"/>
        <v/>
      </c>
      <c r="AC8" s="1" t="str">
        <f t="shared" si="11"/>
        <v/>
      </c>
      <c r="AD8" s="1" t="str">
        <f t="shared" si="12"/>
        <v/>
      </c>
      <c r="AE8" s="1" t="str">
        <f t="shared" si="13"/>
        <v/>
      </c>
      <c r="AF8" s="1" t="str">
        <f t="shared" si="14"/>
        <v/>
      </c>
      <c r="AG8" s="1" t="str">
        <f t="shared" si="15"/>
        <v/>
      </c>
      <c r="AH8" s="1" t="str">
        <f t="shared" si="16"/>
        <v/>
      </c>
      <c r="AI8" s="1" t="str">
        <f>IF($A8="","",捏造NPC!Q8)</f>
        <v/>
      </c>
      <c r="AJ8" s="1" t="str">
        <f t="shared" si="17"/>
        <v/>
      </c>
      <c r="AK8" s="1" t="str">
        <f t="shared" si="18"/>
        <v/>
      </c>
      <c r="AL8" s="1" t="str">
        <f t="shared" si="19"/>
        <v/>
      </c>
      <c r="AM8" s="1" t="str">
        <f t="shared" si="20"/>
        <v/>
      </c>
      <c r="AN8" s="1" t="str">
        <f t="shared" si="21"/>
        <v/>
      </c>
      <c r="AO8" s="1" t="str">
        <f t="shared" si="22"/>
        <v/>
      </c>
      <c r="AP8" s="1" t="str">
        <f t="shared" si="23"/>
        <v/>
      </c>
      <c r="AQ8" s="1" t="str">
        <f t="shared" si="24"/>
        <v/>
      </c>
      <c r="AR8" s="1" t="str">
        <f t="shared" si="25"/>
        <v/>
      </c>
      <c r="AS8" s="1" t="str">
        <f t="shared" si="26"/>
        <v/>
      </c>
      <c r="AT8" s="1" t="str">
        <f t="shared" si="27"/>
        <v/>
      </c>
      <c r="AU8" s="1" t="str">
        <f t="shared" si="28"/>
        <v/>
      </c>
      <c r="AV8" s="1" t="str">
        <f t="shared" si="29"/>
        <v/>
      </c>
      <c r="AW8" s="1" t="str">
        <f t="shared" si="30"/>
        <v/>
      </c>
      <c r="AX8" s="1" t="str">
        <f t="shared" si="31"/>
        <v/>
      </c>
      <c r="AY8" s="1" t="str">
        <f t="shared" si="32"/>
        <v/>
      </c>
      <c r="AZ8" s="1" t="str">
        <f t="shared" si="33"/>
        <v/>
      </c>
      <c r="BA8" s="1" t="str">
        <f t="shared" si="34"/>
        <v/>
      </c>
      <c r="BB8" s="1" t="str">
        <f t="shared" si="35"/>
        <v/>
      </c>
      <c r="BC8" s="1" t="str">
        <f t="shared" si="36"/>
        <v/>
      </c>
      <c r="BD8" s="1" t="str">
        <f t="shared" si="37"/>
        <v/>
      </c>
      <c r="BE8" s="1" t="str">
        <f t="shared" si="38"/>
        <v/>
      </c>
      <c r="BF8" s="1" t="str">
        <f t="shared" si="39"/>
        <v/>
      </c>
      <c r="BG8" s="1" t="str">
        <f t="shared" si="40"/>
        <v/>
      </c>
      <c r="BH8" s="1" t="str">
        <f t="shared" si="41"/>
        <v/>
      </c>
      <c r="BI8" s="1" t="str">
        <f t="shared" si="42"/>
        <v/>
      </c>
      <c r="BJ8" s="1" t="str">
        <f t="shared" si="43"/>
        <v/>
      </c>
      <c r="BK8" s="1" t="str">
        <f t="shared" si="44"/>
        <v/>
      </c>
      <c r="BL8" s="1" t="str">
        <f t="shared" si="45"/>
        <v/>
      </c>
      <c r="BM8" s="1" t="str">
        <f t="shared" si="46"/>
        <v/>
      </c>
      <c r="BN8" s="1" t="str">
        <f t="shared" si="47"/>
        <v/>
      </c>
      <c r="BO8" s="1" t="str">
        <f t="shared" si="92"/>
        <v/>
      </c>
      <c r="BP8" s="1" t="str">
        <f t="shared" si="48"/>
        <v/>
      </c>
      <c r="BQ8" s="1" t="str">
        <f t="shared" si="49"/>
        <v/>
      </c>
      <c r="BR8" s="1" t="str">
        <f t="shared" si="50"/>
        <v/>
      </c>
      <c r="BS8" s="1" t="str">
        <f t="shared" si="51"/>
        <v/>
      </c>
      <c r="BT8" s="1" t="str">
        <f t="shared" si="52"/>
        <v/>
      </c>
      <c r="BU8" s="1" t="str">
        <f t="shared" si="53"/>
        <v/>
      </c>
      <c r="BV8" s="1" t="str">
        <f t="shared" si="54"/>
        <v/>
      </c>
      <c r="BW8" s="1" t="str">
        <f t="shared" si="55"/>
        <v/>
      </c>
      <c r="BX8" s="1" t="str">
        <f t="shared" si="56"/>
        <v/>
      </c>
      <c r="BY8" s="1" t="str">
        <f t="shared" si="57"/>
        <v/>
      </c>
      <c r="BZ8" s="1" t="str">
        <f t="shared" si="58"/>
        <v/>
      </c>
      <c r="CA8" s="1" t="str">
        <f t="shared" si="59"/>
        <v/>
      </c>
      <c r="CB8" s="1" t="str">
        <f t="shared" si="60"/>
        <v/>
      </c>
      <c r="CC8" s="1" t="str">
        <f t="shared" si="61"/>
        <v/>
      </c>
      <c r="CD8" s="1" t="str">
        <f t="shared" si="62"/>
        <v/>
      </c>
      <c r="CE8" s="1" t="str">
        <f t="shared" si="63"/>
        <v/>
      </c>
      <c r="CF8" s="1" t="str">
        <f t="shared" si="64"/>
        <v/>
      </c>
      <c r="CG8" s="1" t="str">
        <f t="shared" si="65"/>
        <v/>
      </c>
      <c r="CH8" s="1" t="str">
        <f t="shared" si="66"/>
        <v/>
      </c>
      <c r="CI8" s="1" t="str">
        <f t="shared" si="67"/>
        <v/>
      </c>
      <c r="CJ8" s="1" t="str">
        <f>IF($A8="","",IF(捏造NPC!P8="否",-1,捏造NPC!AC8))</f>
        <v/>
      </c>
      <c r="CK8" s="1" t="str">
        <f t="shared" si="68"/>
        <v/>
      </c>
      <c r="CL8" s="1" t="str">
        <f t="shared" si="69"/>
        <v/>
      </c>
      <c r="CM8" s="1" t="str">
        <f t="shared" si="70"/>
        <v/>
      </c>
      <c r="CN8" s="1" t="str">
        <f t="shared" si="71"/>
        <v/>
      </c>
      <c r="CO8" s="1" t="str">
        <f t="shared" si="72"/>
        <v/>
      </c>
      <c r="CP8" s="1" t="str">
        <f t="shared" si="73"/>
        <v/>
      </c>
      <c r="CQ8" s="1" t="str">
        <f t="shared" si="74"/>
        <v/>
      </c>
      <c r="CR8" s="1" t="str">
        <f t="shared" si="75"/>
        <v/>
      </c>
      <c r="CS8" s="1" t="str">
        <f t="shared" si="76"/>
        <v/>
      </c>
      <c r="CT8" s="1" t="str">
        <f t="shared" si="77"/>
        <v/>
      </c>
      <c r="CU8" s="1" t="str">
        <f t="shared" si="78"/>
        <v/>
      </c>
      <c r="CV8" s="1" t="str">
        <f t="shared" si="79"/>
        <v/>
      </c>
      <c r="CW8" s="1" t="str">
        <f t="shared" si="80"/>
        <v/>
      </c>
      <c r="CX8" s="1" t="str">
        <f t="shared" si="81"/>
        <v/>
      </c>
      <c r="CY8" s="1" t="str">
        <f t="shared" si="82"/>
        <v/>
      </c>
      <c r="CZ8" s="1" t="str">
        <f t="shared" si="83"/>
        <v/>
      </c>
      <c r="DA8" s="1" t="str">
        <f t="shared" si="84"/>
        <v/>
      </c>
      <c r="DB8" s="1" t="str">
        <f t="shared" si="85"/>
        <v/>
      </c>
      <c r="DC8" s="1" t="str">
        <f t="shared" si="86"/>
        <v/>
      </c>
      <c r="DD8" s="1" t="str">
        <f t="shared" si="87"/>
        <v/>
      </c>
      <c r="DE8" s="1" t="str">
        <f t="shared" si="88"/>
        <v/>
      </c>
      <c r="DF8" s="1" t="str">
        <f t="shared" si="89"/>
        <v/>
      </c>
      <c r="DG8" s="1" t="str">
        <f t="shared" si="90"/>
        <v/>
      </c>
    </row>
    <row r="9" spans="1:111">
      <c r="A9" s="1" t="str">
        <f>捏造NPC!A9</f>
        <v/>
      </c>
      <c r="B9" s="1" t="str">
        <f>IF($A9="","",捏造NPC!E9)</f>
        <v/>
      </c>
      <c r="C9" s="1" t="str">
        <f>IF($A9="","",捏造NPC!F9)</f>
        <v/>
      </c>
      <c r="D9" s="1" t="str">
        <f>IF($A9="","",捏造NPC!G9)</f>
        <v/>
      </c>
      <c r="E9" s="1" t="str">
        <f>IF($A9="","",捏造NPC!T9)</f>
        <v/>
      </c>
      <c r="F9" s="1" t="str">
        <f>IF($A9="","",IF(捏造NPC!P9="否",1,捏造NPC!U9))</f>
        <v/>
      </c>
      <c r="G9" s="1" t="str">
        <f>IF($A9="","",捏造NPC!W9)</f>
        <v/>
      </c>
      <c r="H9" s="1" t="str">
        <f>IF($A9="","",IF(捏造NPC!P9="否",-1,捏造NPC!X9))</f>
        <v/>
      </c>
      <c r="I9" s="1" t="str">
        <f>IF($A9="","",IF(捏造NPC!P9="否",-1,捏造NPC!Y9))</f>
        <v/>
      </c>
      <c r="J9" s="1" t="str">
        <f>IF($A9="","",IF(捏造NPC!P9="否",2500,捏造NPC!Z9))</f>
        <v/>
      </c>
      <c r="K9" s="1" t="str">
        <f t="shared" si="93"/>
        <v/>
      </c>
      <c r="L9" s="1" t="str">
        <f>IF(A9="","",捏造NPC!AB9)</f>
        <v/>
      </c>
      <c r="M9" s="1" t="str">
        <f>IF(捏造NPC!P9="否",0,IF(捏造NPC!P9="是",500,""))</f>
        <v/>
      </c>
      <c r="N9" s="1" t="str">
        <f>IF(捏造NPC!P9="否",0,IF(捏造NPC!P9="是",12,""))</f>
        <v/>
      </c>
      <c r="P9" s="1" t="str">
        <f t="shared" si="1"/>
        <v/>
      </c>
      <c r="Q9" s="1" t="str">
        <f t="shared" si="2"/>
        <v/>
      </c>
      <c r="R9" s="1" t="str">
        <f t="shared" si="91"/>
        <v/>
      </c>
      <c r="S9" s="1" t="str">
        <f t="shared" si="3"/>
        <v/>
      </c>
      <c r="T9" s="1" t="str">
        <f>IF(A9="","",捏造NPC!AE9)</f>
        <v/>
      </c>
      <c r="U9" s="1" t="str">
        <f t="shared" si="4"/>
        <v/>
      </c>
      <c r="V9" s="1" t="str">
        <f t="shared" si="5"/>
        <v/>
      </c>
      <c r="W9" s="1" t="str">
        <f t="shared" si="6"/>
        <v/>
      </c>
      <c r="X9" s="1" t="str">
        <f t="shared" si="7"/>
        <v/>
      </c>
      <c r="Y9" s="1" t="str">
        <f>IF($A9="","",IF(捏造NPC!R9="",-1,$A9))</f>
        <v/>
      </c>
      <c r="Z9" s="1" t="str">
        <f t="shared" si="8"/>
        <v/>
      </c>
      <c r="AA9" s="1" t="str">
        <f t="shared" si="9"/>
        <v/>
      </c>
      <c r="AB9" s="1" t="str">
        <f t="shared" si="10"/>
        <v/>
      </c>
      <c r="AC9" s="1" t="str">
        <f t="shared" si="11"/>
        <v/>
      </c>
      <c r="AD9" s="1" t="str">
        <f t="shared" si="12"/>
        <v/>
      </c>
      <c r="AE9" s="1" t="str">
        <f t="shared" si="13"/>
        <v/>
      </c>
      <c r="AF9" s="1" t="str">
        <f t="shared" si="14"/>
        <v/>
      </c>
      <c r="AG9" s="1" t="str">
        <f t="shared" si="15"/>
        <v/>
      </c>
      <c r="AH9" s="1" t="str">
        <f t="shared" si="16"/>
        <v/>
      </c>
      <c r="AI9" s="1" t="str">
        <f>IF($A9="","",捏造NPC!Q9)</f>
        <v/>
      </c>
      <c r="AJ9" s="1" t="str">
        <f t="shared" si="17"/>
        <v/>
      </c>
      <c r="AK9" s="1" t="str">
        <f t="shared" si="18"/>
        <v/>
      </c>
      <c r="AL9" s="1" t="str">
        <f t="shared" si="19"/>
        <v/>
      </c>
      <c r="AM9" s="1" t="str">
        <f t="shared" si="20"/>
        <v/>
      </c>
      <c r="AN9" s="1" t="str">
        <f t="shared" si="21"/>
        <v/>
      </c>
      <c r="AO9" s="1" t="str">
        <f t="shared" si="22"/>
        <v/>
      </c>
      <c r="AP9" s="1" t="str">
        <f t="shared" si="23"/>
        <v/>
      </c>
      <c r="AQ9" s="1" t="str">
        <f t="shared" si="24"/>
        <v/>
      </c>
      <c r="AR9" s="1" t="str">
        <f t="shared" si="25"/>
        <v/>
      </c>
      <c r="AS9" s="1" t="str">
        <f t="shared" si="26"/>
        <v/>
      </c>
      <c r="AT9" s="1" t="str">
        <f t="shared" si="27"/>
        <v/>
      </c>
      <c r="AU9" s="1" t="str">
        <f t="shared" si="28"/>
        <v/>
      </c>
      <c r="AV9" s="1" t="str">
        <f t="shared" si="29"/>
        <v/>
      </c>
      <c r="AW9" s="1" t="str">
        <f t="shared" si="30"/>
        <v/>
      </c>
      <c r="AX9" s="1" t="str">
        <f t="shared" si="31"/>
        <v/>
      </c>
      <c r="AY9" s="1" t="str">
        <f t="shared" si="32"/>
        <v/>
      </c>
      <c r="AZ9" s="1" t="str">
        <f t="shared" si="33"/>
        <v/>
      </c>
      <c r="BA9" s="1" t="str">
        <f t="shared" si="34"/>
        <v/>
      </c>
      <c r="BB9" s="1" t="str">
        <f t="shared" si="35"/>
        <v/>
      </c>
      <c r="BC9" s="1" t="str">
        <f t="shared" si="36"/>
        <v/>
      </c>
      <c r="BD9" s="1" t="str">
        <f t="shared" si="37"/>
        <v/>
      </c>
      <c r="BE9" s="1" t="str">
        <f t="shared" si="38"/>
        <v/>
      </c>
      <c r="BF9" s="1" t="str">
        <f t="shared" si="39"/>
        <v/>
      </c>
      <c r="BG9" s="1" t="str">
        <f t="shared" si="40"/>
        <v/>
      </c>
      <c r="BH9" s="1" t="str">
        <f t="shared" si="41"/>
        <v/>
      </c>
      <c r="BI9" s="1" t="str">
        <f t="shared" si="42"/>
        <v/>
      </c>
      <c r="BJ9" s="1" t="str">
        <f t="shared" si="43"/>
        <v/>
      </c>
      <c r="BK9" s="1" t="str">
        <f t="shared" si="44"/>
        <v/>
      </c>
      <c r="BL9" s="1" t="str">
        <f t="shared" si="45"/>
        <v/>
      </c>
      <c r="BM9" s="1" t="str">
        <f t="shared" si="46"/>
        <v/>
      </c>
      <c r="BN9" s="1" t="str">
        <f t="shared" si="47"/>
        <v/>
      </c>
      <c r="BO9" s="1" t="str">
        <f t="shared" si="92"/>
        <v/>
      </c>
      <c r="BP9" s="1" t="str">
        <f t="shared" si="48"/>
        <v/>
      </c>
      <c r="BQ9" s="1" t="str">
        <f t="shared" si="49"/>
        <v/>
      </c>
      <c r="BR9" s="1" t="str">
        <f t="shared" si="50"/>
        <v/>
      </c>
      <c r="BS9" s="1" t="str">
        <f t="shared" si="51"/>
        <v/>
      </c>
      <c r="BT9" s="1" t="str">
        <f t="shared" si="52"/>
        <v/>
      </c>
      <c r="BU9" s="1" t="str">
        <f t="shared" si="53"/>
        <v/>
      </c>
      <c r="BV9" s="1" t="str">
        <f t="shared" si="54"/>
        <v/>
      </c>
      <c r="BW9" s="1" t="str">
        <f t="shared" si="55"/>
        <v/>
      </c>
      <c r="BX9" s="1" t="str">
        <f t="shared" si="56"/>
        <v/>
      </c>
      <c r="BY9" s="1" t="str">
        <f t="shared" si="57"/>
        <v/>
      </c>
      <c r="BZ9" s="1" t="str">
        <f t="shared" si="58"/>
        <v/>
      </c>
      <c r="CA9" s="1" t="str">
        <f t="shared" si="59"/>
        <v/>
      </c>
      <c r="CB9" s="1" t="str">
        <f t="shared" si="60"/>
        <v/>
      </c>
      <c r="CC9" s="1" t="str">
        <f t="shared" si="61"/>
        <v/>
      </c>
      <c r="CD9" s="1" t="str">
        <f t="shared" si="62"/>
        <v/>
      </c>
      <c r="CE9" s="1" t="str">
        <f t="shared" si="63"/>
        <v/>
      </c>
      <c r="CF9" s="1" t="str">
        <f t="shared" si="64"/>
        <v/>
      </c>
      <c r="CG9" s="1" t="str">
        <f t="shared" si="65"/>
        <v/>
      </c>
      <c r="CH9" s="1" t="str">
        <f t="shared" si="66"/>
        <v/>
      </c>
      <c r="CI9" s="1" t="str">
        <f t="shared" si="67"/>
        <v/>
      </c>
      <c r="CJ9" s="1" t="str">
        <f>IF($A9="","",IF(捏造NPC!P9="否",-1,捏造NPC!AC9))</f>
        <v/>
      </c>
      <c r="CK9" s="1" t="str">
        <f t="shared" si="68"/>
        <v/>
      </c>
      <c r="CL9" s="1" t="str">
        <f t="shared" si="69"/>
        <v/>
      </c>
      <c r="CM9" s="1" t="str">
        <f t="shared" si="70"/>
        <v/>
      </c>
      <c r="CN9" s="1" t="str">
        <f t="shared" si="71"/>
        <v/>
      </c>
      <c r="CO9" s="1" t="str">
        <f t="shared" si="72"/>
        <v/>
      </c>
      <c r="CP9" s="1" t="str">
        <f t="shared" si="73"/>
        <v/>
      </c>
      <c r="CQ9" s="1" t="str">
        <f t="shared" si="74"/>
        <v/>
      </c>
      <c r="CR9" s="1" t="str">
        <f t="shared" si="75"/>
        <v/>
      </c>
      <c r="CS9" s="1" t="str">
        <f t="shared" si="76"/>
        <v/>
      </c>
      <c r="CT9" s="1" t="str">
        <f t="shared" si="77"/>
        <v/>
      </c>
      <c r="CU9" s="1" t="str">
        <f t="shared" si="78"/>
        <v/>
      </c>
      <c r="CV9" s="1" t="str">
        <f t="shared" si="79"/>
        <v/>
      </c>
      <c r="CW9" s="1" t="str">
        <f t="shared" si="80"/>
        <v/>
      </c>
      <c r="CX9" s="1" t="str">
        <f t="shared" si="81"/>
        <v/>
      </c>
      <c r="CY9" s="1" t="str">
        <f t="shared" si="82"/>
        <v/>
      </c>
      <c r="CZ9" s="1" t="str">
        <f t="shared" si="83"/>
        <v/>
      </c>
      <c r="DA9" s="1" t="str">
        <f t="shared" si="84"/>
        <v/>
      </c>
      <c r="DB9" s="1" t="str">
        <f t="shared" si="85"/>
        <v/>
      </c>
      <c r="DC9" s="1" t="str">
        <f t="shared" si="86"/>
        <v/>
      </c>
      <c r="DD9" s="1" t="str">
        <f t="shared" si="87"/>
        <v/>
      </c>
      <c r="DE9" s="1" t="str">
        <f t="shared" si="88"/>
        <v/>
      </c>
      <c r="DF9" s="1" t="str">
        <f t="shared" si="89"/>
        <v/>
      </c>
      <c r="DG9" s="1" t="str">
        <f t="shared" si="90"/>
        <v/>
      </c>
    </row>
    <row r="10" spans="1:111">
      <c r="A10" s="1" t="str">
        <f>捏造NPC!A10</f>
        <v/>
      </c>
      <c r="B10" s="1" t="str">
        <f>IF($A10="","",捏造NPC!E10)</f>
        <v/>
      </c>
      <c r="C10" s="1" t="str">
        <f>IF($A10="","",捏造NPC!F10)</f>
        <v/>
      </c>
      <c r="D10" s="1" t="str">
        <f>IF($A10="","",捏造NPC!G10)</f>
        <v/>
      </c>
      <c r="E10" s="1" t="str">
        <f>IF($A10="","",捏造NPC!T10)</f>
        <v/>
      </c>
      <c r="F10" s="1" t="str">
        <f>IF($A10="","",IF(捏造NPC!P10="否",1,捏造NPC!U10))</f>
        <v/>
      </c>
      <c r="G10" s="1" t="str">
        <f>IF($A10="","",捏造NPC!W10)</f>
        <v/>
      </c>
      <c r="H10" s="1" t="str">
        <f>IF($A10="","",IF(捏造NPC!P10="否",-1,捏造NPC!X10))</f>
        <v/>
      </c>
      <c r="I10" s="1" t="str">
        <f>IF($A10="","",IF(捏造NPC!P10="否",-1,捏造NPC!Y10))</f>
        <v/>
      </c>
      <c r="J10" s="1" t="str">
        <f>IF($A10="","",IF(捏造NPC!P10="否",2500,捏造NPC!Z10))</f>
        <v/>
      </c>
      <c r="K10" s="1" t="str">
        <f t="shared" si="93"/>
        <v/>
      </c>
      <c r="L10" s="1" t="str">
        <f>IF(A10="","",捏造NPC!AB10)</f>
        <v/>
      </c>
      <c r="M10" s="1" t="str">
        <f>IF(捏造NPC!P10="否",0,IF(捏造NPC!P10="是",500,""))</f>
        <v/>
      </c>
      <c r="N10" s="1" t="str">
        <f>IF(捏造NPC!P10="否",0,IF(捏造NPC!P10="是",12,""))</f>
        <v/>
      </c>
      <c r="P10" s="1" t="str">
        <f t="shared" si="1"/>
        <v/>
      </c>
      <c r="Q10" s="1" t="str">
        <f t="shared" si="2"/>
        <v/>
      </c>
      <c r="R10" s="1" t="str">
        <f t="shared" si="91"/>
        <v/>
      </c>
      <c r="S10" s="1" t="str">
        <f t="shared" si="3"/>
        <v/>
      </c>
      <c r="T10" s="1" t="str">
        <f>IF(A10="","",捏造NPC!AE10)</f>
        <v/>
      </c>
      <c r="U10" s="1" t="str">
        <f t="shared" si="4"/>
        <v/>
      </c>
      <c r="V10" s="1" t="str">
        <f t="shared" si="5"/>
        <v/>
      </c>
      <c r="W10" s="1" t="str">
        <f t="shared" si="6"/>
        <v/>
      </c>
      <c r="X10" s="1" t="str">
        <f t="shared" si="7"/>
        <v/>
      </c>
      <c r="Y10" s="1" t="str">
        <f>IF($A10="","",IF(捏造NPC!R10="",-1,$A10))</f>
        <v/>
      </c>
      <c r="Z10" s="1" t="str">
        <f t="shared" si="8"/>
        <v/>
      </c>
      <c r="AA10" s="1" t="str">
        <f t="shared" si="9"/>
        <v/>
      </c>
      <c r="AB10" s="1" t="str">
        <f t="shared" si="10"/>
        <v/>
      </c>
      <c r="AC10" s="1" t="str">
        <f t="shared" si="11"/>
        <v/>
      </c>
      <c r="AD10" s="1" t="str">
        <f t="shared" si="12"/>
        <v/>
      </c>
      <c r="AE10" s="1" t="str">
        <f t="shared" si="13"/>
        <v/>
      </c>
      <c r="AF10" s="1" t="str">
        <f t="shared" si="14"/>
        <v/>
      </c>
      <c r="AG10" s="1" t="str">
        <f t="shared" si="15"/>
        <v/>
      </c>
      <c r="AH10" s="1" t="str">
        <f t="shared" si="16"/>
        <v/>
      </c>
      <c r="AI10" s="1" t="str">
        <f>IF($A10="","",捏造NPC!Q10)</f>
        <v/>
      </c>
      <c r="AJ10" s="1" t="str">
        <f t="shared" si="17"/>
        <v/>
      </c>
      <c r="AK10" s="1" t="str">
        <f t="shared" si="18"/>
        <v/>
      </c>
      <c r="AL10" s="1" t="str">
        <f t="shared" si="19"/>
        <v/>
      </c>
      <c r="AM10" s="1" t="str">
        <f t="shared" si="20"/>
        <v/>
      </c>
      <c r="AN10" s="1" t="str">
        <f t="shared" si="21"/>
        <v/>
      </c>
      <c r="AO10" s="1" t="str">
        <f t="shared" si="22"/>
        <v/>
      </c>
      <c r="AP10" s="1" t="str">
        <f t="shared" si="23"/>
        <v/>
      </c>
      <c r="AQ10" s="1" t="str">
        <f t="shared" si="24"/>
        <v/>
      </c>
      <c r="AR10" s="1" t="str">
        <f t="shared" si="25"/>
        <v/>
      </c>
      <c r="AS10" s="1" t="str">
        <f t="shared" si="26"/>
        <v/>
      </c>
      <c r="AT10" s="1" t="str">
        <f t="shared" si="27"/>
        <v/>
      </c>
      <c r="AU10" s="1" t="str">
        <f t="shared" si="28"/>
        <v/>
      </c>
      <c r="AV10" s="1" t="str">
        <f t="shared" si="29"/>
        <v/>
      </c>
      <c r="AW10" s="1" t="str">
        <f t="shared" si="30"/>
        <v/>
      </c>
      <c r="AX10" s="1" t="str">
        <f t="shared" si="31"/>
        <v/>
      </c>
      <c r="AY10" s="1" t="str">
        <f t="shared" si="32"/>
        <v/>
      </c>
      <c r="AZ10" s="1" t="str">
        <f t="shared" si="33"/>
        <v/>
      </c>
      <c r="BA10" s="1" t="str">
        <f t="shared" si="34"/>
        <v/>
      </c>
      <c r="BB10" s="1" t="str">
        <f t="shared" si="35"/>
        <v/>
      </c>
      <c r="BC10" s="1" t="str">
        <f t="shared" si="36"/>
        <v/>
      </c>
      <c r="BD10" s="1" t="str">
        <f t="shared" si="37"/>
        <v/>
      </c>
      <c r="BE10" s="1" t="str">
        <f t="shared" si="38"/>
        <v/>
      </c>
      <c r="BF10" s="1" t="str">
        <f t="shared" si="39"/>
        <v/>
      </c>
      <c r="BG10" s="1" t="str">
        <f t="shared" si="40"/>
        <v/>
      </c>
      <c r="BH10" s="1" t="str">
        <f t="shared" si="41"/>
        <v/>
      </c>
      <c r="BI10" s="1" t="str">
        <f t="shared" si="42"/>
        <v/>
      </c>
      <c r="BJ10" s="1" t="str">
        <f t="shared" si="43"/>
        <v/>
      </c>
      <c r="BK10" s="1" t="str">
        <f t="shared" si="44"/>
        <v/>
      </c>
      <c r="BL10" s="1" t="str">
        <f t="shared" si="45"/>
        <v/>
      </c>
      <c r="BM10" s="1" t="str">
        <f t="shared" si="46"/>
        <v/>
      </c>
      <c r="BN10" s="1" t="str">
        <f t="shared" si="47"/>
        <v/>
      </c>
      <c r="BO10" s="1" t="str">
        <f t="shared" si="92"/>
        <v/>
      </c>
      <c r="BP10" s="1" t="str">
        <f t="shared" si="48"/>
        <v/>
      </c>
      <c r="BQ10" s="1" t="str">
        <f t="shared" si="49"/>
        <v/>
      </c>
      <c r="BR10" s="1" t="str">
        <f t="shared" si="50"/>
        <v/>
      </c>
      <c r="BS10" s="1" t="str">
        <f t="shared" si="51"/>
        <v/>
      </c>
      <c r="BT10" s="1" t="str">
        <f t="shared" si="52"/>
        <v/>
      </c>
      <c r="BU10" s="1" t="str">
        <f t="shared" si="53"/>
        <v/>
      </c>
      <c r="BV10" s="1" t="str">
        <f t="shared" si="54"/>
        <v/>
      </c>
      <c r="BW10" s="1" t="str">
        <f t="shared" si="55"/>
        <v/>
      </c>
      <c r="BX10" s="1" t="str">
        <f t="shared" si="56"/>
        <v/>
      </c>
      <c r="BY10" s="1" t="str">
        <f t="shared" si="57"/>
        <v/>
      </c>
      <c r="BZ10" s="1" t="str">
        <f t="shared" si="58"/>
        <v/>
      </c>
      <c r="CA10" s="1" t="str">
        <f t="shared" si="59"/>
        <v/>
      </c>
      <c r="CB10" s="1" t="str">
        <f t="shared" si="60"/>
        <v/>
      </c>
      <c r="CC10" s="1" t="str">
        <f t="shared" si="61"/>
        <v/>
      </c>
      <c r="CD10" s="1" t="str">
        <f t="shared" si="62"/>
        <v/>
      </c>
      <c r="CE10" s="1" t="str">
        <f t="shared" si="63"/>
        <v/>
      </c>
      <c r="CF10" s="1" t="str">
        <f t="shared" si="64"/>
        <v/>
      </c>
      <c r="CG10" s="1" t="str">
        <f t="shared" si="65"/>
        <v/>
      </c>
      <c r="CH10" s="1" t="str">
        <f t="shared" si="66"/>
        <v/>
      </c>
      <c r="CI10" s="1" t="str">
        <f t="shared" si="67"/>
        <v/>
      </c>
      <c r="CJ10" s="1" t="str">
        <f>IF($A10="","",IF(捏造NPC!P10="否",-1,捏造NPC!AC10))</f>
        <v/>
      </c>
      <c r="CK10" s="1" t="str">
        <f t="shared" si="68"/>
        <v/>
      </c>
      <c r="CL10" s="1" t="str">
        <f t="shared" si="69"/>
        <v/>
      </c>
      <c r="CM10" s="1" t="str">
        <f t="shared" si="70"/>
        <v/>
      </c>
      <c r="CN10" s="1" t="str">
        <f t="shared" si="71"/>
        <v/>
      </c>
      <c r="CO10" s="1" t="str">
        <f t="shared" si="72"/>
        <v/>
      </c>
      <c r="CP10" s="1" t="str">
        <f t="shared" si="73"/>
        <v/>
      </c>
      <c r="CQ10" s="1" t="str">
        <f t="shared" si="74"/>
        <v/>
      </c>
      <c r="CR10" s="1" t="str">
        <f t="shared" si="75"/>
        <v/>
      </c>
      <c r="CS10" s="1" t="str">
        <f t="shared" si="76"/>
        <v/>
      </c>
      <c r="CT10" s="1" t="str">
        <f t="shared" si="77"/>
        <v/>
      </c>
      <c r="CU10" s="1" t="str">
        <f t="shared" si="78"/>
        <v/>
      </c>
      <c r="CV10" s="1" t="str">
        <f t="shared" si="79"/>
        <v/>
      </c>
      <c r="CW10" s="1" t="str">
        <f t="shared" si="80"/>
        <v/>
      </c>
      <c r="CX10" s="1" t="str">
        <f t="shared" si="81"/>
        <v/>
      </c>
      <c r="CY10" s="1" t="str">
        <f t="shared" si="82"/>
        <v/>
      </c>
      <c r="CZ10" s="1" t="str">
        <f t="shared" si="83"/>
        <v/>
      </c>
      <c r="DA10" s="1" t="str">
        <f t="shared" si="84"/>
        <v/>
      </c>
      <c r="DB10" s="1" t="str">
        <f t="shared" si="85"/>
        <v/>
      </c>
      <c r="DC10" s="1" t="str">
        <f t="shared" si="86"/>
        <v/>
      </c>
      <c r="DD10" s="1" t="str">
        <f t="shared" si="87"/>
        <v/>
      </c>
      <c r="DE10" s="1" t="str">
        <f t="shared" si="88"/>
        <v/>
      </c>
      <c r="DF10" s="1" t="str">
        <f t="shared" si="89"/>
        <v/>
      </c>
      <c r="DG10" s="1" t="str">
        <f t="shared" si="90"/>
        <v/>
      </c>
    </row>
    <row r="11" spans="1:111">
      <c r="A11" s="1" t="str">
        <f>捏造NPC!A11</f>
        <v/>
      </c>
      <c r="B11" s="1" t="str">
        <f>IF($A11="","",捏造NPC!E11)</f>
        <v/>
      </c>
      <c r="C11" s="1" t="str">
        <f>IF($A11="","",捏造NPC!F11)</f>
        <v/>
      </c>
      <c r="D11" s="1" t="str">
        <f>IF($A11="","",捏造NPC!G11)</f>
        <v/>
      </c>
      <c r="E11" s="1" t="str">
        <f>IF($A11="","",捏造NPC!T11)</f>
        <v/>
      </c>
      <c r="F11" s="1" t="str">
        <f>IF($A11="","",IF(捏造NPC!P11="否",1,捏造NPC!U11))</f>
        <v/>
      </c>
      <c r="G11" s="1" t="str">
        <f>IF($A11="","",捏造NPC!W11)</f>
        <v/>
      </c>
      <c r="H11" s="1" t="str">
        <f>IF($A11="","",IF(捏造NPC!P11="否",-1,捏造NPC!X11))</f>
        <v/>
      </c>
      <c r="I11" s="1" t="str">
        <f>IF($A11="","",IF(捏造NPC!P11="否",-1,捏造NPC!Y11))</f>
        <v/>
      </c>
      <c r="J11" s="1" t="str">
        <f>IF($A11="","",IF(捏造NPC!P11="否",2500,捏造NPC!Z11))</f>
        <v/>
      </c>
      <c r="K11" s="1" t="str">
        <f t="shared" si="93"/>
        <v/>
      </c>
      <c r="L11" s="1" t="str">
        <f>IF(A11="","",捏造NPC!AB11)</f>
        <v/>
      </c>
      <c r="M11" s="1" t="str">
        <f>IF(捏造NPC!P11="否",0,IF(捏造NPC!P11="是",500,""))</f>
        <v/>
      </c>
      <c r="N11" s="1" t="str">
        <f>IF(捏造NPC!P11="否",0,IF(捏造NPC!P11="是",12,""))</f>
        <v/>
      </c>
      <c r="P11" s="1" t="str">
        <f t="shared" si="1"/>
        <v/>
      </c>
      <c r="Q11" s="1" t="str">
        <f t="shared" si="2"/>
        <v/>
      </c>
      <c r="R11" s="1" t="str">
        <f t="shared" si="91"/>
        <v/>
      </c>
      <c r="S11" s="1" t="str">
        <f t="shared" si="3"/>
        <v/>
      </c>
      <c r="T11" s="1" t="str">
        <f>IF(A11="","",捏造NPC!AE11)</f>
        <v/>
      </c>
      <c r="U11" s="1" t="str">
        <f t="shared" si="4"/>
        <v/>
      </c>
      <c r="V11" s="1" t="str">
        <f t="shared" si="5"/>
        <v/>
      </c>
      <c r="W11" s="1" t="str">
        <f t="shared" si="6"/>
        <v/>
      </c>
      <c r="X11" s="1" t="str">
        <f t="shared" si="7"/>
        <v/>
      </c>
      <c r="Y11" s="1" t="str">
        <f>IF($A11="","",IF(捏造NPC!R11="",-1,$A11))</f>
        <v/>
      </c>
      <c r="Z11" s="1" t="str">
        <f t="shared" si="8"/>
        <v/>
      </c>
      <c r="AA11" s="1" t="str">
        <f t="shared" si="9"/>
        <v/>
      </c>
      <c r="AB11" s="1" t="str">
        <f t="shared" si="10"/>
        <v/>
      </c>
      <c r="AC11" s="1" t="str">
        <f t="shared" si="11"/>
        <v/>
      </c>
      <c r="AD11" s="1" t="str">
        <f t="shared" si="12"/>
        <v/>
      </c>
      <c r="AE11" s="1" t="str">
        <f t="shared" si="13"/>
        <v/>
      </c>
      <c r="AF11" s="1" t="str">
        <f t="shared" si="14"/>
        <v/>
      </c>
      <c r="AG11" s="1" t="str">
        <f t="shared" si="15"/>
        <v/>
      </c>
      <c r="AH11" s="1" t="str">
        <f t="shared" si="16"/>
        <v/>
      </c>
      <c r="AI11" s="1" t="str">
        <f>IF($A11="","",捏造NPC!Q11)</f>
        <v/>
      </c>
      <c r="AJ11" s="1" t="str">
        <f t="shared" si="17"/>
        <v/>
      </c>
      <c r="AK11" s="1" t="str">
        <f t="shared" si="18"/>
        <v/>
      </c>
      <c r="AL11" s="1" t="str">
        <f t="shared" si="19"/>
        <v/>
      </c>
      <c r="AM11" s="1" t="str">
        <f t="shared" si="20"/>
        <v/>
      </c>
      <c r="AN11" s="1" t="str">
        <f t="shared" si="21"/>
        <v/>
      </c>
      <c r="AO11" s="1" t="str">
        <f t="shared" si="22"/>
        <v/>
      </c>
      <c r="AP11" s="1" t="str">
        <f t="shared" si="23"/>
        <v/>
      </c>
      <c r="AQ11" s="1" t="str">
        <f t="shared" si="24"/>
        <v/>
      </c>
      <c r="AR11" s="1" t="str">
        <f t="shared" si="25"/>
        <v/>
      </c>
      <c r="AS11" s="1" t="str">
        <f t="shared" si="26"/>
        <v/>
      </c>
      <c r="AT11" s="1" t="str">
        <f t="shared" si="27"/>
        <v/>
      </c>
      <c r="AU11" s="1" t="str">
        <f t="shared" si="28"/>
        <v/>
      </c>
      <c r="AV11" s="1" t="str">
        <f t="shared" si="29"/>
        <v/>
      </c>
      <c r="AW11" s="1" t="str">
        <f t="shared" si="30"/>
        <v/>
      </c>
      <c r="AX11" s="1" t="str">
        <f t="shared" si="31"/>
        <v/>
      </c>
      <c r="AY11" s="1" t="str">
        <f t="shared" si="32"/>
        <v/>
      </c>
      <c r="AZ11" s="1" t="str">
        <f t="shared" si="33"/>
        <v/>
      </c>
      <c r="BA11" s="1" t="str">
        <f t="shared" si="34"/>
        <v/>
      </c>
      <c r="BB11" s="1" t="str">
        <f t="shared" si="35"/>
        <v/>
      </c>
      <c r="BC11" s="1" t="str">
        <f t="shared" si="36"/>
        <v/>
      </c>
      <c r="BD11" s="1" t="str">
        <f t="shared" si="37"/>
        <v/>
      </c>
      <c r="BE11" s="1" t="str">
        <f t="shared" si="38"/>
        <v/>
      </c>
      <c r="BF11" s="1" t="str">
        <f t="shared" si="39"/>
        <v/>
      </c>
      <c r="BG11" s="1" t="str">
        <f t="shared" si="40"/>
        <v/>
      </c>
      <c r="BH11" s="1" t="str">
        <f t="shared" si="41"/>
        <v/>
      </c>
      <c r="BI11" s="1" t="str">
        <f t="shared" si="42"/>
        <v/>
      </c>
      <c r="BJ11" s="1" t="str">
        <f t="shared" si="43"/>
        <v/>
      </c>
      <c r="BK11" s="1" t="str">
        <f t="shared" si="44"/>
        <v/>
      </c>
      <c r="BL11" s="1" t="str">
        <f t="shared" si="45"/>
        <v/>
      </c>
      <c r="BM11" s="1" t="str">
        <f t="shared" si="46"/>
        <v/>
      </c>
      <c r="BN11" s="1" t="str">
        <f t="shared" si="47"/>
        <v/>
      </c>
      <c r="BO11" s="1" t="str">
        <f t="shared" si="92"/>
        <v/>
      </c>
      <c r="BP11" s="1" t="str">
        <f t="shared" si="48"/>
        <v/>
      </c>
      <c r="BQ11" s="1" t="str">
        <f t="shared" si="49"/>
        <v/>
      </c>
      <c r="BR11" s="1" t="str">
        <f t="shared" si="50"/>
        <v/>
      </c>
      <c r="BS11" s="1" t="str">
        <f t="shared" si="51"/>
        <v/>
      </c>
      <c r="BT11" s="1" t="str">
        <f t="shared" si="52"/>
        <v/>
      </c>
      <c r="BU11" s="1" t="str">
        <f t="shared" si="53"/>
        <v/>
      </c>
      <c r="BV11" s="1" t="str">
        <f t="shared" si="54"/>
        <v/>
      </c>
      <c r="BW11" s="1" t="str">
        <f t="shared" si="55"/>
        <v/>
      </c>
      <c r="BX11" s="1" t="str">
        <f t="shared" si="56"/>
        <v/>
      </c>
      <c r="BY11" s="1" t="str">
        <f t="shared" si="57"/>
        <v/>
      </c>
      <c r="BZ11" s="1" t="str">
        <f t="shared" si="58"/>
        <v/>
      </c>
      <c r="CA11" s="1" t="str">
        <f t="shared" si="59"/>
        <v/>
      </c>
      <c r="CB11" s="1" t="str">
        <f t="shared" si="60"/>
        <v/>
      </c>
      <c r="CC11" s="1" t="str">
        <f t="shared" si="61"/>
        <v/>
      </c>
      <c r="CD11" s="1" t="str">
        <f t="shared" si="62"/>
        <v/>
      </c>
      <c r="CE11" s="1" t="str">
        <f t="shared" si="63"/>
        <v/>
      </c>
      <c r="CF11" s="1" t="str">
        <f t="shared" si="64"/>
        <v/>
      </c>
      <c r="CG11" s="1" t="str">
        <f t="shared" si="65"/>
        <v/>
      </c>
      <c r="CH11" s="1" t="str">
        <f t="shared" si="66"/>
        <v/>
      </c>
      <c r="CI11" s="1" t="str">
        <f t="shared" si="67"/>
        <v/>
      </c>
      <c r="CJ11" s="1" t="str">
        <f>IF($A11="","",IF(捏造NPC!P11="否",-1,捏造NPC!AC11))</f>
        <v/>
      </c>
      <c r="CK11" s="1" t="str">
        <f t="shared" si="68"/>
        <v/>
      </c>
      <c r="CL11" s="1" t="str">
        <f t="shared" si="69"/>
        <v/>
      </c>
      <c r="CM11" s="1" t="str">
        <f t="shared" si="70"/>
        <v/>
      </c>
      <c r="CN11" s="1" t="str">
        <f t="shared" si="71"/>
        <v/>
      </c>
      <c r="CO11" s="1" t="str">
        <f t="shared" si="72"/>
        <v/>
      </c>
      <c r="CP11" s="1" t="str">
        <f t="shared" si="73"/>
        <v/>
      </c>
      <c r="CQ11" s="1" t="str">
        <f t="shared" si="74"/>
        <v/>
      </c>
      <c r="CR11" s="1" t="str">
        <f t="shared" si="75"/>
        <v/>
      </c>
      <c r="CS11" s="1" t="str">
        <f t="shared" si="76"/>
        <v/>
      </c>
      <c r="CT11" s="1" t="str">
        <f t="shared" si="77"/>
        <v/>
      </c>
      <c r="CU11" s="1" t="str">
        <f t="shared" si="78"/>
        <v/>
      </c>
      <c r="CV11" s="1" t="str">
        <f t="shared" si="79"/>
        <v/>
      </c>
      <c r="CW11" s="1" t="str">
        <f t="shared" si="80"/>
        <v/>
      </c>
      <c r="CX11" s="1" t="str">
        <f t="shared" si="81"/>
        <v/>
      </c>
      <c r="CY11" s="1" t="str">
        <f t="shared" si="82"/>
        <v/>
      </c>
      <c r="CZ11" s="1" t="str">
        <f t="shared" si="83"/>
        <v/>
      </c>
      <c r="DA11" s="1" t="str">
        <f t="shared" si="84"/>
        <v/>
      </c>
      <c r="DB11" s="1" t="str">
        <f t="shared" si="85"/>
        <v/>
      </c>
      <c r="DC11" s="1" t="str">
        <f t="shared" si="86"/>
        <v/>
      </c>
      <c r="DD11" s="1" t="str">
        <f t="shared" si="87"/>
        <v/>
      </c>
      <c r="DE11" s="1" t="str">
        <f t="shared" si="88"/>
        <v/>
      </c>
      <c r="DF11" s="1" t="str">
        <f t="shared" si="89"/>
        <v/>
      </c>
      <c r="DG11" s="1" t="str">
        <f t="shared" si="90"/>
        <v/>
      </c>
    </row>
    <row r="12" spans="1:111">
      <c r="A12" s="1" t="str">
        <f>捏造NPC!A12</f>
        <v/>
      </c>
      <c r="B12" s="1" t="str">
        <f>IF($A12="","",捏造NPC!E12)</f>
        <v/>
      </c>
      <c r="C12" s="1" t="str">
        <f>IF($A12="","",捏造NPC!F12)</f>
        <v/>
      </c>
      <c r="D12" s="1" t="str">
        <f>IF($A12="","",捏造NPC!G12)</f>
        <v/>
      </c>
      <c r="E12" s="1" t="str">
        <f>IF($A12="","",捏造NPC!T12)</f>
        <v/>
      </c>
      <c r="F12" s="1" t="str">
        <f>IF($A12="","",IF(捏造NPC!P12="否",1,捏造NPC!U12))</f>
        <v/>
      </c>
      <c r="G12" s="1" t="str">
        <f>IF($A12="","",捏造NPC!W12)</f>
        <v/>
      </c>
      <c r="H12" s="1" t="str">
        <f>IF($A12="","",IF(捏造NPC!P12="否",-1,捏造NPC!X12))</f>
        <v/>
      </c>
      <c r="I12" s="1" t="str">
        <f>IF($A12="","",IF(捏造NPC!P12="否",-1,捏造NPC!Y12))</f>
        <v/>
      </c>
      <c r="J12" s="1" t="str">
        <f>IF($A12="","",IF(捏造NPC!P12="否",2500,捏造NPC!Z12))</f>
        <v/>
      </c>
      <c r="K12" s="1" t="str">
        <f t="shared" si="93"/>
        <v/>
      </c>
      <c r="L12" s="1" t="str">
        <f>IF(A12="","",捏造NPC!AB12)</f>
        <v/>
      </c>
      <c r="M12" s="1" t="str">
        <f>IF(捏造NPC!P12="否",0,IF(捏造NPC!P12="是",500,""))</f>
        <v/>
      </c>
      <c r="N12" s="1" t="str">
        <f>IF(捏造NPC!P12="否",0,IF(捏造NPC!P12="是",12,""))</f>
        <v/>
      </c>
      <c r="P12" s="1" t="str">
        <f t="shared" si="1"/>
        <v/>
      </c>
      <c r="Q12" s="1" t="str">
        <f t="shared" si="2"/>
        <v/>
      </c>
      <c r="R12" s="1" t="str">
        <f t="shared" si="91"/>
        <v/>
      </c>
      <c r="S12" s="1" t="str">
        <f t="shared" si="3"/>
        <v/>
      </c>
      <c r="T12" s="1" t="str">
        <f>IF(A12="","",捏造NPC!AE12)</f>
        <v/>
      </c>
      <c r="U12" s="1" t="str">
        <f t="shared" si="4"/>
        <v/>
      </c>
      <c r="V12" s="1" t="str">
        <f t="shared" si="5"/>
        <v/>
      </c>
      <c r="W12" s="1" t="str">
        <f t="shared" si="6"/>
        <v/>
      </c>
      <c r="X12" s="1" t="str">
        <f t="shared" si="7"/>
        <v/>
      </c>
      <c r="Y12" s="1" t="str">
        <f>IF($A12="","",IF(捏造NPC!R12="",-1,$A12))</f>
        <v/>
      </c>
      <c r="Z12" s="1" t="str">
        <f t="shared" si="8"/>
        <v/>
      </c>
      <c r="AA12" s="1" t="str">
        <f t="shared" si="9"/>
        <v/>
      </c>
      <c r="AB12" s="1" t="str">
        <f t="shared" si="10"/>
        <v/>
      </c>
      <c r="AC12" s="1" t="str">
        <f t="shared" si="11"/>
        <v/>
      </c>
      <c r="AD12" s="1" t="str">
        <f t="shared" si="12"/>
        <v/>
      </c>
      <c r="AE12" s="1" t="str">
        <f t="shared" si="13"/>
        <v/>
      </c>
      <c r="AF12" s="1" t="str">
        <f t="shared" si="14"/>
        <v/>
      </c>
      <c r="AG12" s="1" t="str">
        <f t="shared" si="15"/>
        <v/>
      </c>
      <c r="AH12" s="1" t="str">
        <f t="shared" si="16"/>
        <v/>
      </c>
      <c r="AI12" s="1" t="str">
        <f>IF($A12="","",捏造NPC!Q12)</f>
        <v/>
      </c>
      <c r="AJ12" s="1" t="str">
        <f t="shared" si="17"/>
        <v/>
      </c>
      <c r="AK12" s="1" t="str">
        <f t="shared" si="18"/>
        <v/>
      </c>
      <c r="AL12" s="1" t="str">
        <f t="shared" si="19"/>
        <v/>
      </c>
      <c r="AM12" s="1" t="str">
        <f t="shared" si="20"/>
        <v/>
      </c>
      <c r="AN12" s="1" t="str">
        <f t="shared" si="21"/>
        <v/>
      </c>
      <c r="AO12" s="1" t="str">
        <f t="shared" si="22"/>
        <v/>
      </c>
      <c r="AP12" s="1" t="str">
        <f t="shared" si="23"/>
        <v/>
      </c>
      <c r="AQ12" s="1" t="str">
        <f t="shared" si="24"/>
        <v/>
      </c>
      <c r="AR12" s="1" t="str">
        <f t="shared" si="25"/>
        <v/>
      </c>
      <c r="AS12" s="1" t="str">
        <f t="shared" si="26"/>
        <v/>
      </c>
      <c r="AT12" s="1" t="str">
        <f t="shared" si="27"/>
        <v/>
      </c>
      <c r="AU12" s="1" t="str">
        <f t="shared" si="28"/>
        <v/>
      </c>
      <c r="AV12" s="1" t="str">
        <f t="shared" si="29"/>
        <v/>
      </c>
      <c r="AW12" s="1" t="str">
        <f t="shared" si="30"/>
        <v/>
      </c>
      <c r="AX12" s="1" t="str">
        <f t="shared" si="31"/>
        <v/>
      </c>
      <c r="AY12" s="1" t="str">
        <f t="shared" si="32"/>
        <v/>
      </c>
      <c r="AZ12" s="1" t="str">
        <f t="shared" si="33"/>
        <v/>
      </c>
      <c r="BA12" s="1" t="str">
        <f t="shared" si="34"/>
        <v/>
      </c>
      <c r="BB12" s="1" t="str">
        <f t="shared" si="35"/>
        <v/>
      </c>
      <c r="BC12" s="1" t="str">
        <f t="shared" si="36"/>
        <v/>
      </c>
      <c r="BD12" s="1" t="str">
        <f t="shared" si="37"/>
        <v/>
      </c>
      <c r="BE12" s="1" t="str">
        <f t="shared" si="38"/>
        <v/>
      </c>
      <c r="BF12" s="1" t="str">
        <f t="shared" si="39"/>
        <v/>
      </c>
      <c r="BG12" s="1" t="str">
        <f t="shared" si="40"/>
        <v/>
      </c>
      <c r="BH12" s="1" t="str">
        <f t="shared" si="41"/>
        <v/>
      </c>
      <c r="BI12" s="1" t="str">
        <f t="shared" si="42"/>
        <v/>
      </c>
      <c r="BJ12" s="1" t="str">
        <f t="shared" si="43"/>
        <v/>
      </c>
      <c r="BK12" s="1" t="str">
        <f t="shared" si="44"/>
        <v/>
      </c>
      <c r="BL12" s="1" t="str">
        <f t="shared" si="45"/>
        <v/>
      </c>
      <c r="BM12" s="1" t="str">
        <f t="shared" si="46"/>
        <v/>
      </c>
      <c r="BN12" s="1" t="str">
        <f t="shared" si="47"/>
        <v/>
      </c>
      <c r="BO12" s="1" t="str">
        <f t="shared" si="92"/>
        <v/>
      </c>
      <c r="BP12" s="1" t="str">
        <f t="shared" si="48"/>
        <v/>
      </c>
      <c r="BQ12" s="1" t="str">
        <f t="shared" si="49"/>
        <v/>
      </c>
      <c r="BR12" s="1" t="str">
        <f t="shared" si="50"/>
        <v/>
      </c>
      <c r="BS12" s="1" t="str">
        <f t="shared" si="51"/>
        <v/>
      </c>
      <c r="BT12" s="1" t="str">
        <f t="shared" si="52"/>
        <v/>
      </c>
      <c r="BU12" s="1" t="str">
        <f t="shared" si="53"/>
        <v/>
      </c>
      <c r="BV12" s="1" t="str">
        <f t="shared" si="54"/>
        <v/>
      </c>
      <c r="BW12" s="1" t="str">
        <f t="shared" si="55"/>
        <v/>
      </c>
      <c r="BX12" s="1" t="str">
        <f t="shared" si="56"/>
        <v/>
      </c>
      <c r="BY12" s="1" t="str">
        <f t="shared" si="57"/>
        <v/>
      </c>
      <c r="BZ12" s="1" t="str">
        <f t="shared" si="58"/>
        <v/>
      </c>
      <c r="CA12" s="1" t="str">
        <f t="shared" si="59"/>
        <v/>
      </c>
      <c r="CB12" s="1" t="str">
        <f t="shared" si="60"/>
        <v/>
      </c>
      <c r="CC12" s="1" t="str">
        <f t="shared" si="61"/>
        <v/>
      </c>
      <c r="CD12" s="1" t="str">
        <f t="shared" si="62"/>
        <v/>
      </c>
      <c r="CE12" s="1" t="str">
        <f t="shared" si="63"/>
        <v/>
      </c>
      <c r="CF12" s="1" t="str">
        <f t="shared" si="64"/>
        <v/>
      </c>
      <c r="CG12" s="1" t="str">
        <f t="shared" si="65"/>
        <v/>
      </c>
      <c r="CH12" s="1" t="str">
        <f t="shared" si="66"/>
        <v/>
      </c>
      <c r="CI12" s="1" t="str">
        <f t="shared" si="67"/>
        <v/>
      </c>
      <c r="CJ12" s="1" t="str">
        <f>IF($A12="","",IF(捏造NPC!P12="否",-1,捏造NPC!AC12))</f>
        <v/>
      </c>
      <c r="CK12" s="1" t="str">
        <f t="shared" si="68"/>
        <v/>
      </c>
      <c r="CL12" s="1" t="str">
        <f t="shared" si="69"/>
        <v/>
      </c>
      <c r="CM12" s="1" t="str">
        <f t="shared" si="70"/>
        <v/>
      </c>
      <c r="CN12" s="1" t="str">
        <f t="shared" si="71"/>
        <v/>
      </c>
      <c r="CO12" s="1" t="str">
        <f t="shared" si="72"/>
        <v/>
      </c>
      <c r="CP12" s="1" t="str">
        <f t="shared" si="73"/>
        <v/>
      </c>
      <c r="CQ12" s="1" t="str">
        <f t="shared" si="74"/>
        <v/>
      </c>
      <c r="CR12" s="1" t="str">
        <f t="shared" si="75"/>
        <v/>
      </c>
      <c r="CS12" s="1" t="str">
        <f t="shared" si="76"/>
        <v/>
      </c>
      <c r="CT12" s="1" t="str">
        <f t="shared" si="77"/>
        <v/>
      </c>
      <c r="CU12" s="1" t="str">
        <f t="shared" si="78"/>
        <v/>
      </c>
      <c r="CV12" s="1" t="str">
        <f t="shared" si="79"/>
        <v/>
      </c>
      <c r="CW12" s="1" t="str">
        <f t="shared" si="80"/>
        <v/>
      </c>
      <c r="CX12" s="1" t="str">
        <f t="shared" si="81"/>
        <v/>
      </c>
      <c r="CY12" s="1" t="str">
        <f t="shared" si="82"/>
        <v/>
      </c>
      <c r="CZ12" s="1" t="str">
        <f t="shared" si="83"/>
        <v/>
      </c>
      <c r="DA12" s="1" t="str">
        <f t="shared" si="84"/>
        <v/>
      </c>
      <c r="DB12" s="1" t="str">
        <f t="shared" si="85"/>
        <v/>
      </c>
      <c r="DC12" s="1" t="str">
        <f t="shared" si="86"/>
        <v/>
      </c>
      <c r="DD12" s="1" t="str">
        <f t="shared" si="87"/>
        <v/>
      </c>
      <c r="DE12" s="1" t="str">
        <f t="shared" si="88"/>
        <v/>
      </c>
      <c r="DF12" s="1" t="str">
        <f t="shared" si="89"/>
        <v/>
      </c>
      <c r="DG12" s="1" t="str">
        <f t="shared" si="90"/>
        <v/>
      </c>
    </row>
    <row r="13" spans="1:111">
      <c r="A13" s="1" t="str">
        <f>捏造NPC!A13</f>
        <v/>
      </c>
      <c r="B13" s="1" t="str">
        <f>IF($A13="","",捏造NPC!E13)</f>
        <v/>
      </c>
      <c r="C13" s="1" t="str">
        <f>IF($A13="","",捏造NPC!F13)</f>
        <v/>
      </c>
      <c r="D13" s="1" t="str">
        <f>IF($A13="","",捏造NPC!G13)</f>
        <v/>
      </c>
      <c r="E13" s="1" t="str">
        <f>IF($A13="","",捏造NPC!T13)</f>
        <v/>
      </c>
      <c r="F13" s="1" t="str">
        <f>IF($A13="","",IF(捏造NPC!P13="否",1,捏造NPC!U13))</f>
        <v/>
      </c>
      <c r="G13" s="1" t="str">
        <f>IF($A13="","",捏造NPC!W13)</f>
        <v/>
      </c>
      <c r="H13" s="1" t="str">
        <f>IF($A13="","",IF(捏造NPC!P13="否",-1,捏造NPC!X13))</f>
        <v/>
      </c>
      <c r="I13" s="1" t="str">
        <f>IF($A13="","",IF(捏造NPC!P13="否",-1,捏造NPC!Y13))</f>
        <v/>
      </c>
      <c r="J13" s="1" t="str">
        <f>IF($A13="","",IF(捏造NPC!P13="否",2500,捏造NPC!Z13))</f>
        <v/>
      </c>
      <c r="K13" s="1" t="str">
        <f t="shared" si="93"/>
        <v/>
      </c>
      <c r="L13" s="1" t="str">
        <f>IF(A13="","",捏造NPC!AB13)</f>
        <v/>
      </c>
      <c r="M13" s="1" t="str">
        <f>IF(捏造NPC!P13="否",0,IF(捏造NPC!P13="是",500,""))</f>
        <v/>
      </c>
      <c r="N13" s="1" t="str">
        <f>IF(捏造NPC!P13="否",0,IF(捏造NPC!P13="是",12,""))</f>
        <v/>
      </c>
      <c r="P13" s="1" t="str">
        <f t="shared" si="1"/>
        <v/>
      </c>
      <c r="Q13" s="1" t="str">
        <f t="shared" si="2"/>
        <v/>
      </c>
      <c r="R13" s="1" t="str">
        <f t="shared" si="91"/>
        <v/>
      </c>
      <c r="S13" s="1" t="str">
        <f t="shared" si="3"/>
        <v/>
      </c>
      <c r="T13" s="1" t="str">
        <f>IF(A13="","",捏造NPC!AE13)</f>
        <v/>
      </c>
      <c r="U13" s="1" t="str">
        <f t="shared" si="4"/>
        <v/>
      </c>
      <c r="V13" s="1" t="str">
        <f t="shared" si="5"/>
        <v/>
      </c>
      <c r="W13" s="1" t="str">
        <f t="shared" si="6"/>
        <v/>
      </c>
      <c r="X13" s="1" t="str">
        <f t="shared" si="7"/>
        <v/>
      </c>
      <c r="Y13" s="1" t="str">
        <f>IF($A13="","",IF(捏造NPC!R13="",-1,$A13))</f>
        <v/>
      </c>
      <c r="Z13" s="1" t="str">
        <f t="shared" si="8"/>
        <v/>
      </c>
      <c r="AA13" s="1" t="str">
        <f t="shared" si="9"/>
        <v/>
      </c>
      <c r="AB13" s="1" t="str">
        <f t="shared" si="10"/>
        <v/>
      </c>
      <c r="AC13" s="1" t="str">
        <f t="shared" si="11"/>
        <v/>
      </c>
      <c r="AD13" s="1" t="str">
        <f t="shared" si="12"/>
        <v/>
      </c>
      <c r="AE13" s="1" t="str">
        <f t="shared" si="13"/>
        <v/>
      </c>
      <c r="AF13" s="1" t="str">
        <f t="shared" si="14"/>
        <v/>
      </c>
      <c r="AG13" s="1" t="str">
        <f t="shared" si="15"/>
        <v/>
      </c>
      <c r="AH13" s="1" t="str">
        <f t="shared" si="16"/>
        <v/>
      </c>
      <c r="AI13" s="1" t="str">
        <f>IF($A13="","",捏造NPC!Q13)</f>
        <v/>
      </c>
      <c r="AJ13" s="1" t="str">
        <f t="shared" si="17"/>
        <v/>
      </c>
      <c r="AK13" s="1" t="str">
        <f t="shared" si="18"/>
        <v/>
      </c>
      <c r="AL13" s="1" t="str">
        <f t="shared" si="19"/>
        <v/>
      </c>
      <c r="AM13" s="1" t="str">
        <f t="shared" si="20"/>
        <v/>
      </c>
      <c r="AN13" s="1" t="str">
        <f t="shared" si="21"/>
        <v/>
      </c>
      <c r="AO13" s="1" t="str">
        <f t="shared" si="22"/>
        <v/>
      </c>
      <c r="AP13" s="1" t="str">
        <f t="shared" si="23"/>
        <v/>
      </c>
      <c r="AQ13" s="1" t="str">
        <f t="shared" si="24"/>
        <v/>
      </c>
      <c r="AR13" s="1" t="str">
        <f t="shared" si="25"/>
        <v/>
      </c>
      <c r="AS13" s="1" t="str">
        <f t="shared" si="26"/>
        <v/>
      </c>
      <c r="AT13" s="1" t="str">
        <f t="shared" si="27"/>
        <v/>
      </c>
      <c r="AU13" s="1" t="str">
        <f t="shared" si="28"/>
        <v/>
      </c>
      <c r="AV13" s="1" t="str">
        <f t="shared" si="29"/>
        <v/>
      </c>
      <c r="AW13" s="1" t="str">
        <f t="shared" si="30"/>
        <v/>
      </c>
      <c r="AX13" s="1" t="str">
        <f t="shared" si="31"/>
        <v/>
      </c>
      <c r="AY13" s="1" t="str">
        <f t="shared" si="32"/>
        <v/>
      </c>
      <c r="AZ13" s="1" t="str">
        <f t="shared" si="33"/>
        <v/>
      </c>
      <c r="BA13" s="1" t="str">
        <f t="shared" si="34"/>
        <v/>
      </c>
      <c r="BB13" s="1" t="str">
        <f t="shared" si="35"/>
        <v/>
      </c>
      <c r="BC13" s="1" t="str">
        <f t="shared" si="36"/>
        <v/>
      </c>
      <c r="BD13" s="1" t="str">
        <f t="shared" si="37"/>
        <v/>
      </c>
      <c r="BE13" s="1" t="str">
        <f t="shared" si="38"/>
        <v/>
      </c>
      <c r="BF13" s="1" t="str">
        <f t="shared" si="39"/>
        <v/>
      </c>
      <c r="BG13" s="1" t="str">
        <f t="shared" si="40"/>
        <v/>
      </c>
      <c r="BH13" s="1" t="str">
        <f t="shared" si="41"/>
        <v/>
      </c>
      <c r="BI13" s="1" t="str">
        <f t="shared" si="42"/>
        <v/>
      </c>
      <c r="BJ13" s="1" t="str">
        <f t="shared" si="43"/>
        <v/>
      </c>
      <c r="BK13" s="1" t="str">
        <f t="shared" si="44"/>
        <v/>
      </c>
      <c r="BL13" s="1" t="str">
        <f t="shared" si="45"/>
        <v/>
      </c>
      <c r="BM13" s="1" t="str">
        <f t="shared" si="46"/>
        <v/>
      </c>
      <c r="BN13" s="1" t="str">
        <f t="shared" si="47"/>
        <v/>
      </c>
      <c r="BO13" s="1" t="str">
        <f t="shared" si="92"/>
        <v/>
      </c>
      <c r="BP13" s="1" t="str">
        <f t="shared" si="48"/>
        <v/>
      </c>
      <c r="BQ13" s="1" t="str">
        <f t="shared" si="49"/>
        <v/>
      </c>
      <c r="BR13" s="1" t="str">
        <f t="shared" si="50"/>
        <v/>
      </c>
      <c r="BS13" s="1" t="str">
        <f t="shared" si="51"/>
        <v/>
      </c>
      <c r="BT13" s="1" t="str">
        <f t="shared" si="52"/>
        <v/>
      </c>
      <c r="BU13" s="1" t="str">
        <f t="shared" si="53"/>
        <v/>
      </c>
      <c r="BV13" s="1" t="str">
        <f t="shared" si="54"/>
        <v/>
      </c>
      <c r="BW13" s="1" t="str">
        <f t="shared" si="55"/>
        <v/>
      </c>
      <c r="BX13" s="1" t="str">
        <f t="shared" si="56"/>
        <v/>
      </c>
      <c r="BY13" s="1" t="str">
        <f t="shared" si="57"/>
        <v/>
      </c>
      <c r="BZ13" s="1" t="str">
        <f t="shared" si="58"/>
        <v/>
      </c>
      <c r="CA13" s="1" t="str">
        <f t="shared" si="59"/>
        <v/>
      </c>
      <c r="CB13" s="1" t="str">
        <f t="shared" si="60"/>
        <v/>
      </c>
      <c r="CC13" s="1" t="str">
        <f t="shared" si="61"/>
        <v/>
      </c>
      <c r="CD13" s="1" t="str">
        <f t="shared" si="62"/>
        <v/>
      </c>
      <c r="CE13" s="1" t="str">
        <f t="shared" si="63"/>
        <v/>
      </c>
      <c r="CF13" s="1" t="str">
        <f t="shared" si="64"/>
        <v/>
      </c>
      <c r="CG13" s="1" t="str">
        <f t="shared" si="65"/>
        <v/>
      </c>
      <c r="CH13" s="1" t="str">
        <f t="shared" si="66"/>
        <v/>
      </c>
      <c r="CI13" s="1" t="str">
        <f t="shared" si="67"/>
        <v/>
      </c>
      <c r="CJ13" s="1" t="str">
        <f>IF($A13="","",IF(捏造NPC!P13="否",-1,捏造NPC!AC13))</f>
        <v/>
      </c>
      <c r="CK13" s="1" t="str">
        <f t="shared" si="68"/>
        <v/>
      </c>
      <c r="CL13" s="1" t="str">
        <f t="shared" si="69"/>
        <v/>
      </c>
      <c r="CM13" s="1" t="str">
        <f t="shared" si="70"/>
        <v/>
      </c>
      <c r="CN13" s="1" t="str">
        <f t="shared" si="71"/>
        <v/>
      </c>
      <c r="CO13" s="1" t="str">
        <f t="shared" si="72"/>
        <v/>
      </c>
      <c r="CP13" s="1" t="str">
        <f t="shared" si="73"/>
        <v/>
      </c>
      <c r="CQ13" s="1" t="str">
        <f t="shared" si="74"/>
        <v/>
      </c>
      <c r="CR13" s="1" t="str">
        <f t="shared" si="75"/>
        <v/>
      </c>
      <c r="CS13" s="1" t="str">
        <f t="shared" si="76"/>
        <v/>
      </c>
      <c r="CT13" s="1" t="str">
        <f t="shared" si="77"/>
        <v/>
      </c>
      <c r="CU13" s="1" t="str">
        <f t="shared" si="78"/>
        <v/>
      </c>
      <c r="CV13" s="1" t="str">
        <f t="shared" si="79"/>
        <v/>
      </c>
      <c r="CW13" s="1" t="str">
        <f t="shared" si="80"/>
        <v/>
      </c>
      <c r="CX13" s="1" t="str">
        <f t="shared" si="81"/>
        <v/>
      </c>
      <c r="CY13" s="1" t="str">
        <f t="shared" si="82"/>
        <v/>
      </c>
      <c r="CZ13" s="1" t="str">
        <f t="shared" si="83"/>
        <v/>
      </c>
      <c r="DA13" s="1" t="str">
        <f t="shared" si="84"/>
        <v/>
      </c>
      <c r="DB13" s="1" t="str">
        <f t="shared" si="85"/>
        <v/>
      </c>
      <c r="DC13" s="1" t="str">
        <f t="shared" si="86"/>
        <v/>
      </c>
      <c r="DD13" s="1" t="str">
        <f t="shared" si="87"/>
        <v/>
      </c>
      <c r="DE13" s="1" t="str">
        <f t="shared" si="88"/>
        <v/>
      </c>
      <c r="DF13" s="1" t="str">
        <f t="shared" si="89"/>
        <v/>
      </c>
      <c r="DG13" s="1" t="str">
        <f t="shared" si="90"/>
        <v/>
      </c>
    </row>
    <row r="14" spans="1:111">
      <c r="A14" s="1" t="str">
        <f>捏造NPC!A14</f>
        <v/>
      </c>
      <c r="B14" s="1" t="str">
        <f>IF($A14="","",捏造NPC!E14)</f>
        <v/>
      </c>
      <c r="C14" s="1" t="str">
        <f>IF($A14="","",捏造NPC!F14)</f>
        <v/>
      </c>
      <c r="D14" s="1" t="str">
        <f>IF($A14="","",捏造NPC!G14)</f>
        <v/>
      </c>
      <c r="E14" s="1" t="str">
        <f>IF($A14="","",捏造NPC!T14)</f>
        <v/>
      </c>
      <c r="F14" s="1" t="str">
        <f>IF($A14="","",IF(捏造NPC!P14="否",1,捏造NPC!U14))</f>
        <v/>
      </c>
      <c r="G14" s="1" t="str">
        <f>IF($A14="","",捏造NPC!W14)</f>
        <v/>
      </c>
      <c r="H14" s="1" t="str">
        <f>IF($A14="","",IF(捏造NPC!P14="否",-1,捏造NPC!X14))</f>
        <v/>
      </c>
      <c r="I14" s="1" t="str">
        <f>IF($A14="","",IF(捏造NPC!P14="否",-1,捏造NPC!Y14))</f>
        <v/>
      </c>
      <c r="J14" s="1" t="str">
        <f>IF($A14="","",IF(捏造NPC!P14="否",2500,捏造NPC!Z14))</f>
        <v/>
      </c>
      <c r="K14" s="1" t="str">
        <f t="shared" si="93"/>
        <v/>
      </c>
      <c r="L14" s="1" t="str">
        <f>IF(A14="","",捏造NPC!AB14)</f>
        <v/>
      </c>
      <c r="M14" s="1" t="str">
        <f>IF(捏造NPC!P14="否",0,IF(捏造NPC!P14="是",500,""))</f>
        <v/>
      </c>
      <c r="N14" s="1" t="str">
        <f>IF(捏造NPC!P14="否",0,IF(捏造NPC!P14="是",12,""))</f>
        <v/>
      </c>
      <c r="P14" s="1" t="str">
        <f t="shared" si="1"/>
        <v/>
      </c>
      <c r="Q14" s="1" t="str">
        <f t="shared" si="2"/>
        <v/>
      </c>
      <c r="R14" s="1" t="str">
        <f t="shared" si="91"/>
        <v/>
      </c>
      <c r="S14" s="1" t="str">
        <f t="shared" si="3"/>
        <v/>
      </c>
      <c r="T14" s="1" t="str">
        <f>IF(A14="","",捏造NPC!AE14)</f>
        <v/>
      </c>
      <c r="U14" s="1" t="str">
        <f t="shared" si="4"/>
        <v/>
      </c>
      <c r="V14" s="1" t="str">
        <f t="shared" si="5"/>
        <v/>
      </c>
      <c r="W14" s="1" t="str">
        <f t="shared" si="6"/>
        <v/>
      </c>
      <c r="X14" s="1" t="str">
        <f t="shared" si="7"/>
        <v/>
      </c>
      <c r="Y14" s="1" t="str">
        <f>IF($A14="","",IF(捏造NPC!R14="",-1,$A14))</f>
        <v/>
      </c>
      <c r="Z14" s="1" t="str">
        <f t="shared" si="8"/>
        <v/>
      </c>
      <c r="AA14" s="1" t="str">
        <f t="shared" si="9"/>
        <v/>
      </c>
      <c r="AB14" s="1" t="str">
        <f t="shared" si="10"/>
        <v/>
      </c>
      <c r="AC14" s="1" t="str">
        <f t="shared" si="11"/>
        <v/>
      </c>
      <c r="AD14" s="1" t="str">
        <f t="shared" si="12"/>
        <v/>
      </c>
      <c r="AE14" s="1" t="str">
        <f t="shared" si="13"/>
        <v/>
      </c>
      <c r="AF14" s="1" t="str">
        <f t="shared" si="14"/>
        <v/>
      </c>
      <c r="AG14" s="1" t="str">
        <f t="shared" si="15"/>
        <v/>
      </c>
      <c r="AH14" s="1" t="str">
        <f t="shared" si="16"/>
        <v/>
      </c>
      <c r="AI14" s="1" t="str">
        <f>IF($A14="","",捏造NPC!Q14)</f>
        <v/>
      </c>
      <c r="AJ14" s="1" t="str">
        <f t="shared" si="17"/>
        <v/>
      </c>
      <c r="AK14" s="1" t="str">
        <f t="shared" si="18"/>
        <v/>
      </c>
      <c r="AL14" s="1" t="str">
        <f t="shared" si="19"/>
        <v/>
      </c>
      <c r="AM14" s="1" t="str">
        <f t="shared" si="20"/>
        <v/>
      </c>
      <c r="AN14" s="1" t="str">
        <f t="shared" si="21"/>
        <v/>
      </c>
      <c r="AO14" s="1" t="str">
        <f t="shared" si="22"/>
        <v/>
      </c>
      <c r="AP14" s="1" t="str">
        <f t="shared" si="23"/>
        <v/>
      </c>
      <c r="AQ14" s="1" t="str">
        <f t="shared" si="24"/>
        <v/>
      </c>
      <c r="AR14" s="1" t="str">
        <f t="shared" si="25"/>
        <v/>
      </c>
      <c r="AS14" s="1" t="str">
        <f t="shared" si="26"/>
        <v/>
      </c>
      <c r="AT14" s="1" t="str">
        <f t="shared" si="27"/>
        <v/>
      </c>
      <c r="AU14" s="1" t="str">
        <f t="shared" si="28"/>
        <v/>
      </c>
      <c r="AV14" s="1" t="str">
        <f t="shared" si="29"/>
        <v/>
      </c>
      <c r="AW14" s="1" t="str">
        <f t="shared" si="30"/>
        <v/>
      </c>
      <c r="AX14" s="1" t="str">
        <f t="shared" si="31"/>
        <v/>
      </c>
      <c r="AY14" s="1" t="str">
        <f t="shared" si="32"/>
        <v/>
      </c>
      <c r="AZ14" s="1" t="str">
        <f t="shared" si="33"/>
        <v/>
      </c>
      <c r="BA14" s="1" t="str">
        <f t="shared" si="34"/>
        <v/>
      </c>
      <c r="BB14" s="1" t="str">
        <f t="shared" si="35"/>
        <v/>
      </c>
      <c r="BC14" s="1" t="str">
        <f t="shared" si="36"/>
        <v/>
      </c>
      <c r="BD14" s="1" t="str">
        <f t="shared" si="37"/>
        <v/>
      </c>
      <c r="BE14" s="1" t="str">
        <f t="shared" si="38"/>
        <v/>
      </c>
      <c r="BF14" s="1" t="str">
        <f t="shared" si="39"/>
        <v/>
      </c>
      <c r="BG14" s="1" t="str">
        <f t="shared" si="40"/>
        <v/>
      </c>
      <c r="BH14" s="1" t="str">
        <f t="shared" si="41"/>
        <v/>
      </c>
      <c r="BI14" s="1" t="str">
        <f t="shared" si="42"/>
        <v/>
      </c>
      <c r="BJ14" s="1" t="str">
        <f t="shared" si="43"/>
        <v/>
      </c>
      <c r="BK14" s="1" t="str">
        <f t="shared" si="44"/>
        <v/>
      </c>
      <c r="BL14" s="1" t="str">
        <f t="shared" si="45"/>
        <v/>
      </c>
      <c r="BM14" s="1" t="str">
        <f t="shared" si="46"/>
        <v/>
      </c>
      <c r="BN14" s="1" t="str">
        <f t="shared" si="47"/>
        <v/>
      </c>
      <c r="BO14" s="1" t="str">
        <f t="shared" si="92"/>
        <v/>
      </c>
      <c r="BP14" s="1" t="str">
        <f t="shared" si="48"/>
        <v/>
      </c>
      <c r="BQ14" s="1" t="str">
        <f t="shared" si="49"/>
        <v/>
      </c>
      <c r="BR14" s="1" t="str">
        <f t="shared" si="50"/>
        <v/>
      </c>
      <c r="BS14" s="1" t="str">
        <f t="shared" si="51"/>
        <v/>
      </c>
      <c r="BT14" s="1" t="str">
        <f t="shared" si="52"/>
        <v/>
      </c>
      <c r="BU14" s="1" t="str">
        <f t="shared" si="53"/>
        <v/>
      </c>
      <c r="BV14" s="1" t="str">
        <f t="shared" si="54"/>
        <v/>
      </c>
      <c r="BW14" s="1" t="str">
        <f t="shared" si="55"/>
        <v/>
      </c>
      <c r="BX14" s="1" t="str">
        <f t="shared" si="56"/>
        <v/>
      </c>
      <c r="BY14" s="1" t="str">
        <f t="shared" si="57"/>
        <v/>
      </c>
      <c r="BZ14" s="1" t="str">
        <f t="shared" si="58"/>
        <v/>
      </c>
      <c r="CA14" s="1" t="str">
        <f t="shared" si="59"/>
        <v/>
      </c>
      <c r="CB14" s="1" t="str">
        <f t="shared" si="60"/>
        <v/>
      </c>
      <c r="CC14" s="1" t="str">
        <f t="shared" si="61"/>
        <v/>
      </c>
      <c r="CD14" s="1" t="str">
        <f t="shared" si="62"/>
        <v/>
      </c>
      <c r="CE14" s="1" t="str">
        <f t="shared" si="63"/>
        <v/>
      </c>
      <c r="CF14" s="1" t="str">
        <f t="shared" si="64"/>
        <v/>
      </c>
      <c r="CG14" s="1" t="str">
        <f t="shared" si="65"/>
        <v/>
      </c>
      <c r="CH14" s="1" t="str">
        <f t="shared" si="66"/>
        <v/>
      </c>
      <c r="CI14" s="1" t="str">
        <f t="shared" si="67"/>
        <v/>
      </c>
      <c r="CJ14" s="1" t="str">
        <f>IF($A14="","",IF(捏造NPC!P14="否",-1,捏造NPC!AC14))</f>
        <v/>
      </c>
      <c r="CK14" s="1" t="str">
        <f t="shared" si="68"/>
        <v/>
      </c>
      <c r="CL14" s="1" t="str">
        <f t="shared" si="69"/>
        <v/>
      </c>
      <c r="CM14" s="1" t="str">
        <f t="shared" si="70"/>
        <v/>
      </c>
      <c r="CN14" s="1" t="str">
        <f t="shared" si="71"/>
        <v/>
      </c>
      <c r="CO14" s="1" t="str">
        <f t="shared" si="72"/>
        <v/>
      </c>
      <c r="CP14" s="1" t="str">
        <f t="shared" si="73"/>
        <v/>
      </c>
      <c r="CQ14" s="1" t="str">
        <f t="shared" si="74"/>
        <v/>
      </c>
      <c r="CR14" s="1" t="str">
        <f t="shared" si="75"/>
        <v/>
      </c>
      <c r="CS14" s="1" t="str">
        <f t="shared" si="76"/>
        <v/>
      </c>
      <c r="CT14" s="1" t="str">
        <f t="shared" si="77"/>
        <v/>
      </c>
      <c r="CU14" s="1" t="str">
        <f t="shared" si="78"/>
        <v/>
      </c>
      <c r="CV14" s="1" t="str">
        <f t="shared" si="79"/>
        <v/>
      </c>
      <c r="CW14" s="1" t="str">
        <f t="shared" si="80"/>
        <v/>
      </c>
      <c r="CX14" s="1" t="str">
        <f t="shared" si="81"/>
        <v/>
      </c>
      <c r="CY14" s="1" t="str">
        <f t="shared" si="82"/>
        <v/>
      </c>
      <c r="CZ14" s="1" t="str">
        <f t="shared" si="83"/>
        <v/>
      </c>
      <c r="DA14" s="1" t="str">
        <f t="shared" si="84"/>
        <v/>
      </c>
      <c r="DB14" s="1" t="str">
        <f t="shared" si="85"/>
        <v/>
      </c>
      <c r="DC14" s="1" t="str">
        <f t="shared" si="86"/>
        <v/>
      </c>
      <c r="DD14" s="1" t="str">
        <f t="shared" si="87"/>
        <v/>
      </c>
      <c r="DE14" s="1" t="str">
        <f t="shared" si="88"/>
        <v/>
      </c>
      <c r="DF14" s="1" t="str">
        <f t="shared" si="89"/>
        <v/>
      </c>
      <c r="DG14" s="1" t="str">
        <f t="shared" si="90"/>
        <v/>
      </c>
    </row>
    <row r="15" spans="1:111">
      <c r="A15" s="1" t="str">
        <f>捏造NPC!A15</f>
        <v/>
      </c>
      <c r="B15" s="1" t="str">
        <f>IF($A15="","",捏造NPC!E15)</f>
        <v/>
      </c>
      <c r="C15" s="1" t="str">
        <f>IF($A15="","",捏造NPC!F15)</f>
        <v/>
      </c>
      <c r="D15" s="1" t="str">
        <f>IF($A15="","",捏造NPC!G15)</f>
        <v/>
      </c>
      <c r="E15" s="1" t="str">
        <f>IF($A15="","",捏造NPC!T15)</f>
        <v/>
      </c>
      <c r="F15" s="1" t="str">
        <f>IF($A15="","",IF(捏造NPC!P15="否",1,捏造NPC!U15))</f>
        <v/>
      </c>
      <c r="G15" s="1" t="str">
        <f>IF($A15="","",捏造NPC!W15)</f>
        <v/>
      </c>
      <c r="H15" s="1" t="str">
        <f>IF($A15="","",IF(捏造NPC!P15="否",-1,捏造NPC!X15))</f>
        <v/>
      </c>
      <c r="I15" s="1" t="str">
        <f>IF($A15="","",IF(捏造NPC!P15="否",-1,捏造NPC!Y15))</f>
        <v/>
      </c>
      <c r="J15" s="1" t="str">
        <f>IF($A15="","",IF(捏造NPC!P15="否",2500,捏造NPC!Z15))</f>
        <v/>
      </c>
      <c r="K15" s="1" t="str">
        <f t="shared" si="93"/>
        <v/>
      </c>
      <c r="L15" s="1" t="str">
        <f>IF(A15="","",捏造NPC!AB15)</f>
        <v/>
      </c>
      <c r="M15" s="1" t="str">
        <f>IF(捏造NPC!P15="否",0,IF(捏造NPC!P15="是",500,""))</f>
        <v/>
      </c>
      <c r="N15" s="1" t="str">
        <f>IF(捏造NPC!P15="否",0,IF(捏造NPC!P15="是",12,""))</f>
        <v/>
      </c>
      <c r="P15" s="1" t="str">
        <f t="shared" si="1"/>
        <v/>
      </c>
      <c r="Q15" s="1" t="str">
        <f t="shared" si="2"/>
        <v/>
      </c>
      <c r="R15" s="1" t="str">
        <f t="shared" si="91"/>
        <v/>
      </c>
      <c r="S15" s="1" t="str">
        <f t="shared" si="3"/>
        <v/>
      </c>
      <c r="T15" s="1" t="str">
        <f>IF(A15="","",捏造NPC!AE15)</f>
        <v/>
      </c>
      <c r="U15" s="1" t="str">
        <f t="shared" si="4"/>
        <v/>
      </c>
      <c r="V15" s="1" t="str">
        <f t="shared" si="5"/>
        <v/>
      </c>
      <c r="W15" s="1" t="str">
        <f t="shared" si="6"/>
        <v/>
      </c>
      <c r="X15" s="1" t="str">
        <f t="shared" si="7"/>
        <v/>
      </c>
      <c r="Y15" s="1" t="str">
        <f>IF($A15="","",IF(捏造NPC!R15="",-1,$A15))</f>
        <v/>
      </c>
      <c r="Z15" s="1" t="str">
        <f t="shared" si="8"/>
        <v/>
      </c>
      <c r="AA15" s="1" t="str">
        <f t="shared" si="9"/>
        <v/>
      </c>
      <c r="AB15" s="1" t="str">
        <f t="shared" si="10"/>
        <v/>
      </c>
      <c r="AC15" s="1" t="str">
        <f t="shared" si="11"/>
        <v/>
      </c>
      <c r="AD15" s="1" t="str">
        <f t="shared" si="12"/>
        <v/>
      </c>
      <c r="AE15" s="1" t="str">
        <f t="shared" si="13"/>
        <v/>
      </c>
      <c r="AF15" s="1" t="str">
        <f t="shared" si="14"/>
        <v/>
      </c>
      <c r="AG15" s="1" t="str">
        <f t="shared" si="15"/>
        <v/>
      </c>
      <c r="AH15" s="1" t="str">
        <f t="shared" si="16"/>
        <v/>
      </c>
      <c r="AI15" s="1" t="str">
        <f>IF($A15="","",捏造NPC!Q15)</f>
        <v/>
      </c>
      <c r="AJ15" s="1" t="str">
        <f t="shared" si="17"/>
        <v/>
      </c>
      <c r="AK15" s="1" t="str">
        <f t="shared" si="18"/>
        <v/>
      </c>
      <c r="AL15" s="1" t="str">
        <f t="shared" si="19"/>
        <v/>
      </c>
      <c r="AM15" s="1" t="str">
        <f t="shared" si="20"/>
        <v/>
      </c>
      <c r="AN15" s="1" t="str">
        <f t="shared" si="21"/>
        <v/>
      </c>
      <c r="AO15" s="1" t="str">
        <f t="shared" si="22"/>
        <v/>
      </c>
      <c r="AP15" s="1" t="str">
        <f t="shared" si="23"/>
        <v/>
      </c>
      <c r="AQ15" s="1" t="str">
        <f t="shared" si="24"/>
        <v/>
      </c>
      <c r="AR15" s="1" t="str">
        <f t="shared" si="25"/>
        <v/>
      </c>
      <c r="AS15" s="1" t="str">
        <f t="shared" si="26"/>
        <v/>
      </c>
      <c r="AT15" s="1" t="str">
        <f t="shared" si="27"/>
        <v/>
      </c>
      <c r="AU15" s="1" t="str">
        <f t="shared" si="28"/>
        <v/>
      </c>
      <c r="AV15" s="1" t="str">
        <f t="shared" si="29"/>
        <v/>
      </c>
      <c r="AW15" s="1" t="str">
        <f t="shared" si="30"/>
        <v/>
      </c>
      <c r="AX15" s="1" t="str">
        <f t="shared" si="31"/>
        <v/>
      </c>
      <c r="AY15" s="1" t="str">
        <f t="shared" si="32"/>
        <v/>
      </c>
      <c r="AZ15" s="1" t="str">
        <f t="shared" si="33"/>
        <v/>
      </c>
      <c r="BA15" s="1" t="str">
        <f t="shared" si="34"/>
        <v/>
      </c>
      <c r="BB15" s="1" t="str">
        <f t="shared" si="35"/>
        <v/>
      </c>
      <c r="BC15" s="1" t="str">
        <f t="shared" si="36"/>
        <v/>
      </c>
      <c r="BD15" s="1" t="str">
        <f t="shared" si="37"/>
        <v/>
      </c>
      <c r="BE15" s="1" t="str">
        <f t="shared" si="38"/>
        <v/>
      </c>
      <c r="BF15" s="1" t="str">
        <f t="shared" si="39"/>
        <v/>
      </c>
      <c r="BG15" s="1" t="str">
        <f t="shared" si="40"/>
        <v/>
      </c>
      <c r="BH15" s="1" t="str">
        <f t="shared" si="41"/>
        <v/>
      </c>
      <c r="BI15" s="1" t="str">
        <f t="shared" si="42"/>
        <v/>
      </c>
      <c r="BJ15" s="1" t="str">
        <f t="shared" si="43"/>
        <v/>
      </c>
      <c r="BK15" s="1" t="str">
        <f t="shared" si="44"/>
        <v/>
      </c>
      <c r="BL15" s="1" t="str">
        <f t="shared" si="45"/>
        <v/>
      </c>
      <c r="BM15" s="1" t="str">
        <f t="shared" si="46"/>
        <v/>
      </c>
      <c r="BN15" s="1" t="str">
        <f t="shared" si="47"/>
        <v/>
      </c>
      <c r="BO15" s="1" t="str">
        <f t="shared" si="92"/>
        <v/>
      </c>
      <c r="BP15" s="1" t="str">
        <f t="shared" si="48"/>
        <v/>
      </c>
      <c r="BQ15" s="1" t="str">
        <f t="shared" si="49"/>
        <v/>
      </c>
      <c r="BR15" s="1" t="str">
        <f t="shared" si="50"/>
        <v/>
      </c>
      <c r="BS15" s="1" t="str">
        <f t="shared" si="51"/>
        <v/>
      </c>
      <c r="BT15" s="1" t="str">
        <f t="shared" si="52"/>
        <v/>
      </c>
      <c r="BU15" s="1" t="str">
        <f t="shared" si="53"/>
        <v/>
      </c>
      <c r="BV15" s="1" t="str">
        <f t="shared" si="54"/>
        <v/>
      </c>
      <c r="BW15" s="1" t="str">
        <f t="shared" si="55"/>
        <v/>
      </c>
      <c r="BX15" s="1" t="str">
        <f t="shared" si="56"/>
        <v/>
      </c>
      <c r="BY15" s="1" t="str">
        <f t="shared" si="57"/>
        <v/>
      </c>
      <c r="BZ15" s="1" t="str">
        <f t="shared" si="58"/>
        <v/>
      </c>
      <c r="CA15" s="1" t="str">
        <f t="shared" si="59"/>
        <v/>
      </c>
      <c r="CB15" s="1" t="str">
        <f t="shared" si="60"/>
        <v/>
      </c>
      <c r="CC15" s="1" t="str">
        <f t="shared" si="61"/>
        <v/>
      </c>
      <c r="CD15" s="1" t="str">
        <f t="shared" si="62"/>
        <v/>
      </c>
      <c r="CE15" s="1" t="str">
        <f t="shared" si="63"/>
        <v/>
      </c>
      <c r="CF15" s="1" t="str">
        <f t="shared" si="64"/>
        <v/>
      </c>
      <c r="CG15" s="1" t="str">
        <f t="shared" si="65"/>
        <v/>
      </c>
      <c r="CH15" s="1" t="str">
        <f t="shared" si="66"/>
        <v/>
      </c>
      <c r="CI15" s="1" t="str">
        <f t="shared" si="67"/>
        <v/>
      </c>
      <c r="CJ15" s="1" t="str">
        <f>IF($A15="","",IF(捏造NPC!P15="否",-1,捏造NPC!AC15))</f>
        <v/>
      </c>
      <c r="CK15" s="1" t="str">
        <f t="shared" si="68"/>
        <v/>
      </c>
      <c r="CL15" s="1" t="str">
        <f t="shared" si="69"/>
        <v/>
      </c>
      <c r="CM15" s="1" t="str">
        <f t="shared" si="70"/>
        <v/>
      </c>
      <c r="CN15" s="1" t="str">
        <f t="shared" si="71"/>
        <v/>
      </c>
      <c r="CO15" s="1" t="str">
        <f t="shared" si="72"/>
        <v/>
      </c>
      <c r="CP15" s="1" t="str">
        <f t="shared" si="73"/>
        <v/>
      </c>
      <c r="CQ15" s="1" t="str">
        <f t="shared" si="74"/>
        <v/>
      </c>
      <c r="CR15" s="1" t="str">
        <f t="shared" si="75"/>
        <v/>
      </c>
      <c r="CS15" s="1" t="str">
        <f t="shared" si="76"/>
        <v/>
      </c>
      <c r="CT15" s="1" t="str">
        <f t="shared" si="77"/>
        <v/>
      </c>
      <c r="CU15" s="1" t="str">
        <f t="shared" si="78"/>
        <v/>
      </c>
      <c r="CV15" s="1" t="str">
        <f t="shared" si="79"/>
        <v/>
      </c>
      <c r="CW15" s="1" t="str">
        <f t="shared" si="80"/>
        <v/>
      </c>
      <c r="CX15" s="1" t="str">
        <f t="shared" si="81"/>
        <v/>
      </c>
      <c r="CY15" s="1" t="str">
        <f t="shared" si="82"/>
        <v/>
      </c>
      <c r="CZ15" s="1" t="str">
        <f t="shared" si="83"/>
        <v/>
      </c>
      <c r="DA15" s="1" t="str">
        <f t="shared" si="84"/>
        <v/>
      </c>
      <c r="DB15" s="1" t="str">
        <f t="shared" si="85"/>
        <v/>
      </c>
      <c r="DC15" s="1" t="str">
        <f t="shared" si="86"/>
        <v/>
      </c>
      <c r="DD15" s="1" t="str">
        <f t="shared" si="87"/>
        <v/>
      </c>
      <c r="DE15" s="1" t="str">
        <f t="shared" si="88"/>
        <v/>
      </c>
      <c r="DF15" s="1" t="str">
        <f t="shared" si="89"/>
        <v/>
      </c>
      <c r="DG15" s="1" t="str">
        <f t="shared" si="90"/>
        <v/>
      </c>
    </row>
    <row r="16" spans="1:111">
      <c r="A16" s="1" t="str">
        <f>捏造NPC!A16</f>
        <v/>
      </c>
      <c r="B16" s="1" t="str">
        <f>IF($A16="","",捏造NPC!E16)</f>
        <v/>
      </c>
      <c r="C16" s="1" t="str">
        <f>IF($A16="","",捏造NPC!F16)</f>
        <v/>
      </c>
      <c r="D16" s="1" t="str">
        <f>IF($A16="","",捏造NPC!G16)</f>
        <v/>
      </c>
      <c r="E16" s="1" t="str">
        <f>IF($A16="","",捏造NPC!T16)</f>
        <v/>
      </c>
      <c r="F16" s="1" t="str">
        <f>IF($A16="","",IF(捏造NPC!P16="否",1,捏造NPC!U16))</f>
        <v/>
      </c>
      <c r="G16" s="1" t="str">
        <f>IF($A16="","",捏造NPC!W16)</f>
        <v/>
      </c>
      <c r="H16" s="1" t="str">
        <f>IF($A16="","",IF(捏造NPC!P16="否",-1,捏造NPC!X16))</f>
        <v/>
      </c>
      <c r="I16" s="1" t="str">
        <f>IF($A16="","",IF(捏造NPC!P16="否",-1,捏造NPC!Y16))</f>
        <v/>
      </c>
      <c r="J16" s="1" t="str">
        <f>IF($A16="","",IF(捏造NPC!P16="否",2500,捏造NPC!Z16))</f>
        <v/>
      </c>
      <c r="K16" s="1" t="str">
        <f t="shared" si="93"/>
        <v/>
      </c>
      <c r="L16" s="1" t="str">
        <f>IF(A16="","",捏造NPC!AB16)</f>
        <v/>
      </c>
      <c r="M16" s="1" t="str">
        <f>IF(捏造NPC!P16="否",0,IF(捏造NPC!P16="是",500,""))</f>
        <v/>
      </c>
      <c r="N16" s="1" t="str">
        <f>IF(捏造NPC!P16="否",0,IF(捏造NPC!P16="是",12,""))</f>
        <v/>
      </c>
      <c r="P16" s="1" t="str">
        <f t="shared" si="1"/>
        <v/>
      </c>
      <c r="Q16" s="1" t="str">
        <f t="shared" si="2"/>
        <v/>
      </c>
      <c r="R16" s="1" t="str">
        <f t="shared" si="91"/>
        <v/>
      </c>
      <c r="S16" s="1" t="str">
        <f t="shared" si="3"/>
        <v/>
      </c>
      <c r="T16" s="1" t="str">
        <f>IF(A16="","",捏造NPC!AE16)</f>
        <v/>
      </c>
      <c r="U16" s="1" t="str">
        <f t="shared" si="4"/>
        <v/>
      </c>
      <c r="V16" s="1" t="str">
        <f t="shared" si="5"/>
        <v/>
      </c>
      <c r="W16" s="1" t="str">
        <f t="shared" si="6"/>
        <v/>
      </c>
      <c r="X16" s="1" t="str">
        <f t="shared" si="7"/>
        <v/>
      </c>
      <c r="Y16" s="1" t="str">
        <f>IF($A16="","",IF(捏造NPC!R16="",-1,$A16))</f>
        <v/>
      </c>
      <c r="Z16" s="1" t="str">
        <f t="shared" si="8"/>
        <v/>
      </c>
      <c r="AA16" s="1" t="str">
        <f t="shared" si="9"/>
        <v/>
      </c>
      <c r="AB16" s="1" t="str">
        <f t="shared" si="10"/>
        <v/>
      </c>
      <c r="AC16" s="1" t="str">
        <f t="shared" si="11"/>
        <v/>
      </c>
      <c r="AD16" s="1" t="str">
        <f t="shared" si="12"/>
        <v/>
      </c>
      <c r="AE16" s="1" t="str">
        <f t="shared" si="13"/>
        <v/>
      </c>
      <c r="AF16" s="1" t="str">
        <f t="shared" si="14"/>
        <v/>
      </c>
      <c r="AG16" s="1" t="str">
        <f t="shared" si="15"/>
        <v/>
      </c>
      <c r="AH16" s="1" t="str">
        <f t="shared" si="16"/>
        <v/>
      </c>
      <c r="AI16" s="1" t="str">
        <f>IF($A16="","",捏造NPC!Q16)</f>
        <v/>
      </c>
      <c r="AJ16" s="1" t="str">
        <f t="shared" si="17"/>
        <v/>
      </c>
      <c r="AK16" s="1" t="str">
        <f t="shared" si="18"/>
        <v/>
      </c>
      <c r="AL16" s="1" t="str">
        <f t="shared" si="19"/>
        <v/>
      </c>
      <c r="AM16" s="1" t="str">
        <f t="shared" si="20"/>
        <v/>
      </c>
      <c r="AN16" s="1" t="str">
        <f t="shared" si="21"/>
        <v/>
      </c>
      <c r="AO16" s="1" t="str">
        <f t="shared" si="22"/>
        <v/>
      </c>
      <c r="AP16" s="1" t="str">
        <f t="shared" si="23"/>
        <v/>
      </c>
      <c r="AQ16" s="1" t="str">
        <f t="shared" si="24"/>
        <v/>
      </c>
      <c r="AR16" s="1" t="str">
        <f t="shared" si="25"/>
        <v/>
      </c>
      <c r="AS16" s="1" t="str">
        <f t="shared" si="26"/>
        <v/>
      </c>
      <c r="AT16" s="1" t="str">
        <f t="shared" si="27"/>
        <v/>
      </c>
      <c r="AU16" s="1" t="str">
        <f t="shared" si="28"/>
        <v/>
      </c>
      <c r="AV16" s="1" t="str">
        <f t="shared" si="29"/>
        <v/>
      </c>
      <c r="AW16" s="1" t="str">
        <f t="shared" si="30"/>
        <v/>
      </c>
      <c r="AX16" s="1" t="str">
        <f t="shared" si="31"/>
        <v/>
      </c>
      <c r="AY16" s="1" t="str">
        <f t="shared" si="32"/>
        <v/>
      </c>
      <c r="AZ16" s="1" t="str">
        <f t="shared" si="33"/>
        <v/>
      </c>
      <c r="BA16" s="1" t="str">
        <f t="shared" si="34"/>
        <v/>
      </c>
      <c r="BB16" s="1" t="str">
        <f t="shared" si="35"/>
        <v/>
      </c>
      <c r="BC16" s="1" t="str">
        <f t="shared" si="36"/>
        <v/>
      </c>
      <c r="BD16" s="1" t="str">
        <f t="shared" si="37"/>
        <v/>
      </c>
      <c r="BE16" s="1" t="str">
        <f t="shared" si="38"/>
        <v/>
      </c>
      <c r="BF16" s="1" t="str">
        <f t="shared" si="39"/>
        <v/>
      </c>
      <c r="BG16" s="1" t="str">
        <f t="shared" si="40"/>
        <v/>
      </c>
      <c r="BH16" s="1" t="str">
        <f t="shared" si="41"/>
        <v/>
      </c>
      <c r="BI16" s="1" t="str">
        <f t="shared" si="42"/>
        <v/>
      </c>
      <c r="BJ16" s="1" t="str">
        <f t="shared" si="43"/>
        <v/>
      </c>
      <c r="BK16" s="1" t="str">
        <f t="shared" si="44"/>
        <v/>
      </c>
      <c r="BL16" s="1" t="str">
        <f t="shared" si="45"/>
        <v/>
      </c>
      <c r="BM16" s="1" t="str">
        <f t="shared" si="46"/>
        <v/>
      </c>
      <c r="BN16" s="1" t="str">
        <f t="shared" si="47"/>
        <v/>
      </c>
      <c r="BO16" s="1" t="str">
        <f t="shared" si="92"/>
        <v/>
      </c>
      <c r="BP16" s="1" t="str">
        <f t="shared" si="48"/>
        <v/>
      </c>
      <c r="BQ16" s="1" t="str">
        <f t="shared" si="49"/>
        <v/>
      </c>
      <c r="BR16" s="1" t="str">
        <f t="shared" si="50"/>
        <v/>
      </c>
      <c r="BS16" s="1" t="str">
        <f t="shared" si="51"/>
        <v/>
      </c>
      <c r="BT16" s="1" t="str">
        <f t="shared" si="52"/>
        <v/>
      </c>
      <c r="BU16" s="1" t="str">
        <f t="shared" si="53"/>
        <v/>
      </c>
      <c r="BV16" s="1" t="str">
        <f t="shared" si="54"/>
        <v/>
      </c>
      <c r="BW16" s="1" t="str">
        <f t="shared" si="55"/>
        <v/>
      </c>
      <c r="BX16" s="1" t="str">
        <f t="shared" si="56"/>
        <v/>
      </c>
      <c r="BY16" s="1" t="str">
        <f t="shared" si="57"/>
        <v/>
      </c>
      <c r="BZ16" s="1" t="str">
        <f t="shared" si="58"/>
        <v/>
      </c>
      <c r="CA16" s="1" t="str">
        <f t="shared" si="59"/>
        <v/>
      </c>
      <c r="CB16" s="1" t="str">
        <f t="shared" si="60"/>
        <v/>
      </c>
      <c r="CC16" s="1" t="str">
        <f t="shared" si="61"/>
        <v/>
      </c>
      <c r="CD16" s="1" t="str">
        <f t="shared" si="62"/>
        <v/>
      </c>
      <c r="CE16" s="1" t="str">
        <f t="shared" si="63"/>
        <v/>
      </c>
      <c r="CF16" s="1" t="str">
        <f t="shared" si="64"/>
        <v/>
      </c>
      <c r="CG16" s="1" t="str">
        <f t="shared" si="65"/>
        <v/>
      </c>
      <c r="CH16" s="1" t="str">
        <f t="shared" si="66"/>
        <v/>
      </c>
      <c r="CI16" s="1" t="str">
        <f t="shared" si="67"/>
        <v/>
      </c>
      <c r="CJ16" s="1" t="str">
        <f>IF($A16="","",IF(捏造NPC!P16="否",-1,捏造NPC!AC16))</f>
        <v/>
      </c>
      <c r="CK16" s="1" t="str">
        <f t="shared" si="68"/>
        <v/>
      </c>
      <c r="CL16" s="1" t="str">
        <f t="shared" si="69"/>
        <v/>
      </c>
      <c r="CM16" s="1" t="str">
        <f t="shared" si="70"/>
        <v/>
      </c>
      <c r="CN16" s="1" t="str">
        <f t="shared" si="71"/>
        <v/>
      </c>
      <c r="CO16" s="1" t="str">
        <f t="shared" si="72"/>
        <v/>
      </c>
      <c r="CP16" s="1" t="str">
        <f t="shared" si="73"/>
        <v/>
      </c>
      <c r="CQ16" s="1" t="str">
        <f t="shared" si="74"/>
        <v/>
      </c>
      <c r="CR16" s="1" t="str">
        <f t="shared" si="75"/>
        <v/>
      </c>
      <c r="CS16" s="1" t="str">
        <f t="shared" si="76"/>
        <v/>
      </c>
      <c r="CT16" s="1" t="str">
        <f t="shared" si="77"/>
        <v/>
      </c>
      <c r="CU16" s="1" t="str">
        <f t="shared" si="78"/>
        <v/>
      </c>
      <c r="CV16" s="1" t="str">
        <f t="shared" si="79"/>
        <v/>
      </c>
      <c r="CW16" s="1" t="str">
        <f t="shared" si="80"/>
        <v/>
      </c>
      <c r="CX16" s="1" t="str">
        <f t="shared" si="81"/>
        <v/>
      </c>
      <c r="CY16" s="1" t="str">
        <f t="shared" si="82"/>
        <v/>
      </c>
      <c r="CZ16" s="1" t="str">
        <f t="shared" si="83"/>
        <v/>
      </c>
      <c r="DA16" s="1" t="str">
        <f t="shared" si="84"/>
        <v/>
      </c>
      <c r="DB16" s="1" t="str">
        <f t="shared" si="85"/>
        <v/>
      </c>
      <c r="DC16" s="1" t="str">
        <f t="shared" si="86"/>
        <v/>
      </c>
      <c r="DD16" s="1" t="str">
        <f t="shared" si="87"/>
        <v/>
      </c>
      <c r="DE16" s="1" t="str">
        <f t="shared" si="88"/>
        <v/>
      </c>
      <c r="DF16" s="1" t="str">
        <f t="shared" si="89"/>
        <v/>
      </c>
      <c r="DG16" s="1" t="str">
        <f t="shared" si="90"/>
        <v/>
      </c>
    </row>
    <row r="17" spans="1:111">
      <c r="A17" s="1" t="str">
        <f>捏造NPC!A17</f>
        <v/>
      </c>
      <c r="B17" s="1" t="str">
        <f>IF($A17="","",捏造NPC!E17)</f>
        <v/>
      </c>
      <c r="C17" s="1" t="str">
        <f>IF($A17="","",捏造NPC!F17)</f>
        <v/>
      </c>
      <c r="D17" s="1" t="str">
        <f>IF($A17="","",捏造NPC!G17)</f>
        <v/>
      </c>
      <c r="E17" s="1" t="str">
        <f>IF($A17="","",捏造NPC!T17)</f>
        <v/>
      </c>
      <c r="F17" s="1" t="str">
        <f>IF($A17="","",IF(捏造NPC!P17="否",1,捏造NPC!U17))</f>
        <v/>
      </c>
      <c r="G17" s="1" t="str">
        <f>IF($A17="","",捏造NPC!W17)</f>
        <v/>
      </c>
      <c r="H17" s="1" t="str">
        <f>IF($A17="","",IF(捏造NPC!P17="否",-1,捏造NPC!X17))</f>
        <v/>
      </c>
      <c r="I17" s="1" t="str">
        <f>IF($A17="","",IF(捏造NPC!P17="否",-1,捏造NPC!Y17))</f>
        <v/>
      </c>
      <c r="J17" s="1" t="str">
        <f>IF($A17="","",IF(捏造NPC!P17="否",2500,捏造NPC!Z17))</f>
        <v/>
      </c>
      <c r="K17" s="1" t="str">
        <f t="shared" si="93"/>
        <v/>
      </c>
      <c r="L17" s="1" t="str">
        <f>IF(A17="","",捏造NPC!AB17)</f>
        <v/>
      </c>
      <c r="M17" s="1" t="str">
        <f>IF(捏造NPC!P17="否",0,IF(捏造NPC!P17="是",500,""))</f>
        <v/>
      </c>
      <c r="N17" s="1" t="str">
        <f>IF(捏造NPC!P17="否",0,IF(捏造NPC!P17="是",12,""))</f>
        <v/>
      </c>
      <c r="P17" s="1" t="str">
        <f t="shared" si="1"/>
        <v/>
      </c>
      <c r="Q17" s="1" t="str">
        <f t="shared" si="2"/>
        <v/>
      </c>
      <c r="R17" s="1" t="str">
        <f t="shared" si="91"/>
        <v/>
      </c>
      <c r="S17" s="1" t="str">
        <f t="shared" si="3"/>
        <v/>
      </c>
      <c r="T17" s="1" t="str">
        <f>IF(A17="","",捏造NPC!AE17)</f>
        <v/>
      </c>
      <c r="U17" s="1" t="str">
        <f t="shared" si="4"/>
        <v/>
      </c>
      <c r="V17" s="1" t="str">
        <f t="shared" si="5"/>
        <v/>
      </c>
      <c r="W17" s="1" t="str">
        <f t="shared" si="6"/>
        <v/>
      </c>
      <c r="X17" s="1" t="str">
        <f t="shared" si="7"/>
        <v/>
      </c>
      <c r="Y17" s="1" t="str">
        <f>IF($A17="","",IF(捏造NPC!R17="",-1,$A17))</f>
        <v/>
      </c>
      <c r="Z17" s="1" t="str">
        <f t="shared" si="8"/>
        <v/>
      </c>
      <c r="AA17" s="1" t="str">
        <f t="shared" si="9"/>
        <v/>
      </c>
      <c r="AB17" s="1" t="str">
        <f t="shared" si="10"/>
        <v/>
      </c>
      <c r="AC17" s="1" t="str">
        <f t="shared" si="11"/>
        <v/>
      </c>
      <c r="AD17" s="1" t="str">
        <f t="shared" si="12"/>
        <v/>
      </c>
      <c r="AE17" s="1" t="str">
        <f t="shared" si="13"/>
        <v/>
      </c>
      <c r="AF17" s="1" t="str">
        <f t="shared" si="14"/>
        <v/>
      </c>
      <c r="AG17" s="1" t="str">
        <f t="shared" si="15"/>
        <v/>
      </c>
      <c r="AH17" s="1" t="str">
        <f t="shared" si="16"/>
        <v/>
      </c>
      <c r="AI17" s="1" t="str">
        <f>IF($A17="","",捏造NPC!Q17)</f>
        <v/>
      </c>
      <c r="AJ17" s="1" t="str">
        <f t="shared" si="17"/>
        <v/>
      </c>
      <c r="AK17" s="1" t="str">
        <f t="shared" si="18"/>
        <v/>
      </c>
      <c r="AL17" s="1" t="str">
        <f t="shared" si="19"/>
        <v/>
      </c>
      <c r="AM17" s="1" t="str">
        <f t="shared" si="20"/>
        <v/>
      </c>
      <c r="AN17" s="1" t="str">
        <f t="shared" si="21"/>
        <v/>
      </c>
      <c r="AO17" s="1" t="str">
        <f t="shared" si="22"/>
        <v/>
      </c>
      <c r="AP17" s="1" t="str">
        <f t="shared" si="23"/>
        <v/>
      </c>
      <c r="AQ17" s="1" t="str">
        <f t="shared" si="24"/>
        <v/>
      </c>
      <c r="AR17" s="1" t="str">
        <f t="shared" si="25"/>
        <v/>
      </c>
      <c r="AS17" s="1" t="str">
        <f t="shared" si="26"/>
        <v/>
      </c>
      <c r="AT17" s="1" t="str">
        <f t="shared" si="27"/>
        <v/>
      </c>
      <c r="AU17" s="1" t="str">
        <f t="shared" si="28"/>
        <v/>
      </c>
      <c r="AV17" s="1" t="str">
        <f t="shared" si="29"/>
        <v/>
      </c>
      <c r="AW17" s="1" t="str">
        <f t="shared" si="30"/>
        <v/>
      </c>
      <c r="AX17" s="1" t="str">
        <f t="shared" si="31"/>
        <v/>
      </c>
      <c r="AY17" s="1" t="str">
        <f t="shared" si="32"/>
        <v/>
      </c>
      <c r="AZ17" s="1" t="str">
        <f t="shared" si="33"/>
        <v/>
      </c>
      <c r="BA17" s="1" t="str">
        <f t="shared" si="34"/>
        <v/>
      </c>
      <c r="BB17" s="1" t="str">
        <f t="shared" si="35"/>
        <v/>
      </c>
      <c r="BC17" s="1" t="str">
        <f t="shared" si="36"/>
        <v/>
      </c>
      <c r="BD17" s="1" t="str">
        <f t="shared" si="37"/>
        <v/>
      </c>
      <c r="BE17" s="1" t="str">
        <f t="shared" si="38"/>
        <v/>
      </c>
      <c r="BF17" s="1" t="str">
        <f t="shared" si="39"/>
        <v/>
      </c>
      <c r="BG17" s="1" t="str">
        <f t="shared" si="40"/>
        <v/>
      </c>
      <c r="BH17" s="1" t="str">
        <f t="shared" si="41"/>
        <v/>
      </c>
      <c r="BI17" s="1" t="str">
        <f t="shared" si="42"/>
        <v/>
      </c>
      <c r="BJ17" s="1" t="str">
        <f t="shared" si="43"/>
        <v/>
      </c>
      <c r="BK17" s="1" t="str">
        <f t="shared" si="44"/>
        <v/>
      </c>
      <c r="BL17" s="1" t="str">
        <f t="shared" si="45"/>
        <v/>
      </c>
      <c r="BM17" s="1" t="str">
        <f t="shared" si="46"/>
        <v/>
      </c>
      <c r="BN17" s="1" t="str">
        <f t="shared" si="47"/>
        <v/>
      </c>
      <c r="BO17" s="1" t="str">
        <f t="shared" si="92"/>
        <v/>
      </c>
      <c r="BP17" s="1" t="str">
        <f t="shared" si="48"/>
        <v/>
      </c>
      <c r="BQ17" s="1" t="str">
        <f t="shared" si="49"/>
        <v/>
      </c>
      <c r="BR17" s="1" t="str">
        <f t="shared" si="50"/>
        <v/>
      </c>
      <c r="BS17" s="1" t="str">
        <f t="shared" si="51"/>
        <v/>
      </c>
      <c r="BT17" s="1" t="str">
        <f t="shared" si="52"/>
        <v/>
      </c>
      <c r="BU17" s="1" t="str">
        <f t="shared" si="53"/>
        <v/>
      </c>
      <c r="BV17" s="1" t="str">
        <f t="shared" si="54"/>
        <v/>
      </c>
      <c r="BW17" s="1" t="str">
        <f t="shared" si="55"/>
        <v/>
      </c>
      <c r="BX17" s="1" t="str">
        <f t="shared" si="56"/>
        <v/>
      </c>
      <c r="BY17" s="1" t="str">
        <f t="shared" si="57"/>
        <v/>
      </c>
      <c r="BZ17" s="1" t="str">
        <f t="shared" si="58"/>
        <v/>
      </c>
      <c r="CA17" s="1" t="str">
        <f t="shared" si="59"/>
        <v/>
      </c>
      <c r="CB17" s="1" t="str">
        <f t="shared" si="60"/>
        <v/>
      </c>
      <c r="CC17" s="1" t="str">
        <f t="shared" si="61"/>
        <v/>
      </c>
      <c r="CD17" s="1" t="str">
        <f t="shared" si="62"/>
        <v/>
      </c>
      <c r="CE17" s="1" t="str">
        <f t="shared" si="63"/>
        <v/>
      </c>
      <c r="CF17" s="1" t="str">
        <f t="shared" si="64"/>
        <v/>
      </c>
      <c r="CG17" s="1" t="str">
        <f t="shared" si="65"/>
        <v/>
      </c>
      <c r="CH17" s="1" t="str">
        <f t="shared" si="66"/>
        <v/>
      </c>
      <c r="CI17" s="1" t="str">
        <f t="shared" si="67"/>
        <v/>
      </c>
      <c r="CJ17" s="1" t="str">
        <f>IF($A17="","",IF(捏造NPC!P17="否",-1,捏造NPC!AC17))</f>
        <v/>
      </c>
      <c r="CK17" s="1" t="str">
        <f t="shared" si="68"/>
        <v/>
      </c>
      <c r="CL17" s="1" t="str">
        <f t="shared" si="69"/>
        <v/>
      </c>
      <c r="CM17" s="1" t="str">
        <f t="shared" si="70"/>
        <v/>
      </c>
      <c r="CN17" s="1" t="str">
        <f t="shared" si="71"/>
        <v/>
      </c>
      <c r="CO17" s="1" t="str">
        <f t="shared" si="72"/>
        <v/>
      </c>
      <c r="CP17" s="1" t="str">
        <f t="shared" si="73"/>
        <v/>
      </c>
      <c r="CQ17" s="1" t="str">
        <f t="shared" si="74"/>
        <v/>
      </c>
      <c r="CR17" s="1" t="str">
        <f t="shared" si="75"/>
        <v/>
      </c>
      <c r="CS17" s="1" t="str">
        <f t="shared" si="76"/>
        <v/>
      </c>
      <c r="CT17" s="1" t="str">
        <f t="shared" si="77"/>
        <v/>
      </c>
      <c r="CU17" s="1" t="str">
        <f t="shared" si="78"/>
        <v/>
      </c>
      <c r="CV17" s="1" t="str">
        <f t="shared" si="79"/>
        <v/>
      </c>
      <c r="CW17" s="1" t="str">
        <f t="shared" si="80"/>
        <v/>
      </c>
      <c r="CX17" s="1" t="str">
        <f t="shared" si="81"/>
        <v/>
      </c>
      <c r="CY17" s="1" t="str">
        <f t="shared" si="82"/>
        <v/>
      </c>
      <c r="CZ17" s="1" t="str">
        <f t="shared" si="83"/>
        <v/>
      </c>
      <c r="DA17" s="1" t="str">
        <f t="shared" si="84"/>
        <v/>
      </c>
      <c r="DB17" s="1" t="str">
        <f t="shared" si="85"/>
        <v/>
      </c>
      <c r="DC17" s="1" t="str">
        <f t="shared" si="86"/>
        <v/>
      </c>
      <c r="DD17" s="1" t="str">
        <f t="shared" si="87"/>
        <v/>
      </c>
      <c r="DE17" s="1" t="str">
        <f t="shared" si="88"/>
        <v/>
      </c>
      <c r="DF17" s="1" t="str">
        <f t="shared" si="89"/>
        <v/>
      </c>
      <c r="DG17" s="1" t="str">
        <f t="shared" si="90"/>
        <v/>
      </c>
    </row>
    <row r="18" spans="1:111">
      <c r="A18" s="1" t="str">
        <f>捏造NPC!A18</f>
        <v/>
      </c>
      <c r="B18" s="1" t="str">
        <f>IF($A18="","",捏造NPC!E18)</f>
        <v/>
      </c>
      <c r="C18" s="1" t="str">
        <f>IF($A18="","",捏造NPC!F18)</f>
        <v/>
      </c>
      <c r="D18" s="1" t="str">
        <f>IF($A18="","",捏造NPC!G18)</f>
        <v/>
      </c>
      <c r="E18" s="1" t="str">
        <f>IF($A18="","",捏造NPC!T18)</f>
        <v/>
      </c>
      <c r="F18" s="1" t="str">
        <f>IF($A18="","",IF(捏造NPC!P18="否",1,捏造NPC!U18))</f>
        <v/>
      </c>
      <c r="G18" s="1" t="str">
        <f>IF($A18="","",捏造NPC!W18)</f>
        <v/>
      </c>
      <c r="H18" s="1" t="str">
        <f>IF($A18="","",IF(捏造NPC!P18="否",-1,捏造NPC!X18))</f>
        <v/>
      </c>
      <c r="I18" s="1" t="str">
        <f>IF($A18="","",IF(捏造NPC!P18="否",-1,捏造NPC!Y18))</f>
        <v/>
      </c>
      <c r="J18" s="1" t="str">
        <f>IF($A18="","",IF(捏造NPC!P18="否",2500,捏造NPC!Z18))</f>
        <v/>
      </c>
      <c r="K18" s="1" t="str">
        <f t="shared" si="93"/>
        <v/>
      </c>
      <c r="L18" s="1" t="str">
        <f>IF(A18="","",捏造NPC!AB18)</f>
        <v/>
      </c>
      <c r="M18" s="1" t="str">
        <f>IF(捏造NPC!P18="否",0,IF(捏造NPC!P18="是",500,""))</f>
        <v/>
      </c>
      <c r="N18" s="1" t="str">
        <f>IF(捏造NPC!P18="否",0,IF(捏造NPC!P18="是",12,""))</f>
        <v/>
      </c>
      <c r="P18" s="1" t="str">
        <f t="shared" si="1"/>
        <v/>
      </c>
      <c r="Q18" s="1" t="str">
        <f t="shared" si="2"/>
        <v/>
      </c>
      <c r="R18" s="1" t="str">
        <f t="shared" si="91"/>
        <v/>
      </c>
      <c r="S18" s="1" t="str">
        <f t="shared" si="3"/>
        <v/>
      </c>
      <c r="T18" s="1" t="str">
        <f>IF(A18="","",捏造NPC!AE18)</f>
        <v/>
      </c>
      <c r="U18" s="1" t="str">
        <f t="shared" si="4"/>
        <v/>
      </c>
      <c r="V18" s="1" t="str">
        <f t="shared" si="5"/>
        <v/>
      </c>
      <c r="W18" s="1" t="str">
        <f t="shared" si="6"/>
        <v/>
      </c>
      <c r="X18" s="1" t="str">
        <f t="shared" si="7"/>
        <v/>
      </c>
      <c r="Y18" s="1" t="str">
        <f>IF($A18="","",IF(捏造NPC!R18="",-1,$A18))</f>
        <v/>
      </c>
      <c r="Z18" s="1" t="str">
        <f t="shared" si="8"/>
        <v/>
      </c>
      <c r="AA18" s="1" t="str">
        <f t="shared" si="9"/>
        <v/>
      </c>
      <c r="AB18" s="1" t="str">
        <f t="shared" si="10"/>
        <v/>
      </c>
      <c r="AC18" s="1" t="str">
        <f t="shared" si="11"/>
        <v/>
      </c>
      <c r="AD18" s="1" t="str">
        <f t="shared" si="12"/>
        <v/>
      </c>
      <c r="AE18" s="1" t="str">
        <f t="shared" si="13"/>
        <v/>
      </c>
      <c r="AF18" s="1" t="str">
        <f t="shared" si="14"/>
        <v/>
      </c>
      <c r="AG18" s="1" t="str">
        <f t="shared" si="15"/>
        <v/>
      </c>
      <c r="AH18" s="1" t="str">
        <f t="shared" si="16"/>
        <v/>
      </c>
      <c r="AI18" s="1" t="str">
        <f>IF($A18="","",捏造NPC!Q18)</f>
        <v/>
      </c>
      <c r="AJ18" s="1" t="str">
        <f t="shared" si="17"/>
        <v/>
      </c>
      <c r="AK18" s="1" t="str">
        <f t="shared" si="18"/>
        <v/>
      </c>
      <c r="AL18" s="1" t="str">
        <f t="shared" si="19"/>
        <v/>
      </c>
      <c r="AM18" s="1" t="str">
        <f t="shared" si="20"/>
        <v/>
      </c>
      <c r="AN18" s="1" t="str">
        <f t="shared" si="21"/>
        <v/>
      </c>
      <c r="AO18" s="1" t="str">
        <f t="shared" si="22"/>
        <v/>
      </c>
      <c r="AP18" s="1" t="str">
        <f t="shared" si="23"/>
        <v/>
      </c>
      <c r="AQ18" s="1" t="str">
        <f t="shared" si="24"/>
        <v/>
      </c>
      <c r="AR18" s="1" t="str">
        <f t="shared" si="25"/>
        <v/>
      </c>
      <c r="AS18" s="1" t="str">
        <f t="shared" si="26"/>
        <v/>
      </c>
      <c r="AT18" s="1" t="str">
        <f t="shared" si="27"/>
        <v/>
      </c>
      <c r="AU18" s="1" t="str">
        <f t="shared" si="28"/>
        <v/>
      </c>
      <c r="AV18" s="1" t="str">
        <f t="shared" si="29"/>
        <v/>
      </c>
      <c r="AW18" s="1" t="str">
        <f t="shared" si="30"/>
        <v/>
      </c>
      <c r="AX18" s="1" t="str">
        <f t="shared" si="31"/>
        <v/>
      </c>
      <c r="AY18" s="1" t="str">
        <f t="shared" si="32"/>
        <v/>
      </c>
      <c r="AZ18" s="1" t="str">
        <f t="shared" si="33"/>
        <v/>
      </c>
      <c r="BA18" s="1" t="str">
        <f t="shared" si="34"/>
        <v/>
      </c>
      <c r="BB18" s="1" t="str">
        <f t="shared" si="35"/>
        <v/>
      </c>
      <c r="BC18" s="1" t="str">
        <f t="shared" si="36"/>
        <v/>
      </c>
      <c r="BD18" s="1" t="str">
        <f t="shared" si="37"/>
        <v/>
      </c>
      <c r="BE18" s="1" t="str">
        <f t="shared" si="38"/>
        <v/>
      </c>
      <c r="BF18" s="1" t="str">
        <f t="shared" si="39"/>
        <v/>
      </c>
      <c r="BG18" s="1" t="str">
        <f t="shared" si="40"/>
        <v/>
      </c>
      <c r="BH18" s="1" t="str">
        <f t="shared" si="41"/>
        <v/>
      </c>
      <c r="BI18" s="1" t="str">
        <f t="shared" si="42"/>
        <v/>
      </c>
      <c r="BJ18" s="1" t="str">
        <f t="shared" si="43"/>
        <v/>
      </c>
      <c r="BK18" s="1" t="str">
        <f t="shared" si="44"/>
        <v/>
      </c>
      <c r="BL18" s="1" t="str">
        <f t="shared" si="45"/>
        <v/>
      </c>
      <c r="BM18" s="1" t="str">
        <f t="shared" si="46"/>
        <v/>
      </c>
      <c r="BN18" s="1" t="str">
        <f t="shared" si="47"/>
        <v/>
      </c>
      <c r="BO18" s="1" t="str">
        <f t="shared" si="92"/>
        <v/>
      </c>
      <c r="BP18" s="1" t="str">
        <f t="shared" si="48"/>
        <v/>
      </c>
      <c r="BQ18" s="1" t="str">
        <f t="shared" si="49"/>
        <v/>
      </c>
      <c r="BR18" s="1" t="str">
        <f t="shared" si="50"/>
        <v/>
      </c>
      <c r="BS18" s="1" t="str">
        <f t="shared" si="51"/>
        <v/>
      </c>
      <c r="BT18" s="1" t="str">
        <f t="shared" si="52"/>
        <v/>
      </c>
      <c r="BU18" s="1" t="str">
        <f t="shared" si="53"/>
        <v/>
      </c>
      <c r="BV18" s="1" t="str">
        <f t="shared" si="54"/>
        <v/>
      </c>
      <c r="BW18" s="1" t="str">
        <f t="shared" si="55"/>
        <v/>
      </c>
      <c r="BX18" s="1" t="str">
        <f t="shared" si="56"/>
        <v/>
      </c>
      <c r="BY18" s="1" t="str">
        <f t="shared" si="57"/>
        <v/>
      </c>
      <c r="BZ18" s="1" t="str">
        <f t="shared" si="58"/>
        <v/>
      </c>
      <c r="CA18" s="1" t="str">
        <f t="shared" si="59"/>
        <v/>
      </c>
      <c r="CB18" s="1" t="str">
        <f t="shared" si="60"/>
        <v/>
      </c>
      <c r="CC18" s="1" t="str">
        <f t="shared" si="61"/>
        <v/>
      </c>
      <c r="CD18" s="1" t="str">
        <f t="shared" si="62"/>
        <v/>
      </c>
      <c r="CE18" s="1" t="str">
        <f t="shared" si="63"/>
        <v/>
      </c>
      <c r="CF18" s="1" t="str">
        <f t="shared" si="64"/>
        <v/>
      </c>
      <c r="CG18" s="1" t="str">
        <f t="shared" si="65"/>
        <v/>
      </c>
      <c r="CH18" s="1" t="str">
        <f t="shared" si="66"/>
        <v/>
      </c>
      <c r="CI18" s="1" t="str">
        <f t="shared" si="67"/>
        <v/>
      </c>
      <c r="CJ18" s="1" t="str">
        <f>IF($A18="","",IF(捏造NPC!P18="否",-1,捏造NPC!AC18))</f>
        <v/>
      </c>
      <c r="CK18" s="1" t="str">
        <f t="shared" si="68"/>
        <v/>
      </c>
      <c r="CL18" s="1" t="str">
        <f t="shared" si="69"/>
        <v/>
      </c>
      <c r="CM18" s="1" t="str">
        <f t="shared" si="70"/>
        <v/>
      </c>
      <c r="CN18" s="1" t="str">
        <f t="shared" si="71"/>
        <v/>
      </c>
      <c r="CO18" s="1" t="str">
        <f t="shared" si="72"/>
        <v/>
      </c>
      <c r="CP18" s="1" t="str">
        <f t="shared" si="73"/>
        <v/>
      </c>
      <c r="CQ18" s="1" t="str">
        <f t="shared" si="74"/>
        <v/>
      </c>
      <c r="CR18" s="1" t="str">
        <f t="shared" si="75"/>
        <v/>
      </c>
      <c r="CS18" s="1" t="str">
        <f t="shared" si="76"/>
        <v/>
      </c>
      <c r="CT18" s="1" t="str">
        <f t="shared" si="77"/>
        <v/>
      </c>
      <c r="CU18" s="1" t="str">
        <f t="shared" si="78"/>
        <v/>
      </c>
      <c r="CV18" s="1" t="str">
        <f t="shared" si="79"/>
        <v/>
      </c>
      <c r="CW18" s="1" t="str">
        <f t="shared" si="80"/>
        <v/>
      </c>
      <c r="CX18" s="1" t="str">
        <f t="shared" si="81"/>
        <v/>
      </c>
      <c r="CY18" s="1" t="str">
        <f t="shared" si="82"/>
        <v/>
      </c>
      <c r="CZ18" s="1" t="str">
        <f t="shared" si="83"/>
        <v/>
      </c>
      <c r="DA18" s="1" t="str">
        <f t="shared" si="84"/>
        <v/>
      </c>
      <c r="DB18" s="1" t="str">
        <f t="shared" si="85"/>
        <v/>
      </c>
      <c r="DC18" s="1" t="str">
        <f t="shared" si="86"/>
        <v/>
      </c>
      <c r="DD18" s="1" t="str">
        <f t="shared" si="87"/>
        <v/>
      </c>
      <c r="DE18" s="1" t="str">
        <f t="shared" si="88"/>
        <v/>
      </c>
      <c r="DF18" s="1" t="str">
        <f t="shared" si="89"/>
        <v/>
      </c>
      <c r="DG18" s="1" t="str">
        <f t="shared" si="90"/>
        <v/>
      </c>
    </row>
    <row r="19" spans="1:111">
      <c r="A19" s="1" t="str">
        <f>捏造NPC!A19</f>
        <v/>
      </c>
      <c r="B19" s="1" t="str">
        <f>IF($A19="","",捏造NPC!E19)</f>
        <v/>
      </c>
      <c r="C19" s="1" t="str">
        <f>IF($A19="","",捏造NPC!F19)</f>
        <v/>
      </c>
      <c r="D19" s="1" t="str">
        <f>IF($A19="","",捏造NPC!G19)</f>
        <v/>
      </c>
      <c r="E19" s="1" t="str">
        <f>IF($A19="","",捏造NPC!T19)</f>
        <v/>
      </c>
      <c r="F19" s="1" t="str">
        <f>IF($A19="","",IF(捏造NPC!P19="否",1,捏造NPC!U19))</f>
        <v/>
      </c>
      <c r="G19" s="1" t="str">
        <f>IF($A19="","",捏造NPC!W19)</f>
        <v/>
      </c>
      <c r="H19" s="1" t="str">
        <f>IF($A19="","",IF(捏造NPC!P19="否",-1,捏造NPC!X19))</f>
        <v/>
      </c>
      <c r="I19" s="1" t="str">
        <f>IF($A19="","",IF(捏造NPC!P19="否",-1,捏造NPC!Y19))</f>
        <v/>
      </c>
      <c r="J19" s="1" t="str">
        <f>IF($A19="","",IF(捏造NPC!P19="否",2500,捏造NPC!Z19))</f>
        <v/>
      </c>
      <c r="K19" s="1" t="str">
        <f t="shared" si="93"/>
        <v/>
      </c>
      <c r="L19" s="1" t="str">
        <f>IF(A19="","",捏造NPC!AB19)</f>
        <v/>
      </c>
      <c r="M19" s="1" t="str">
        <f>IF(捏造NPC!P19="否",0,IF(捏造NPC!P19="是",500,""))</f>
        <v/>
      </c>
      <c r="N19" s="1" t="str">
        <f>IF(捏造NPC!P19="否",0,IF(捏造NPC!P19="是",12,""))</f>
        <v/>
      </c>
      <c r="P19" s="1" t="str">
        <f t="shared" si="1"/>
        <v/>
      </c>
      <c r="Q19" s="1" t="str">
        <f t="shared" si="2"/>
        <v/>
      </c>
      <c r="R19" s="1" t="str">
        <f t="shared" si="91"/>
        <v/>
      </c>
      <c r="S19" s="1" t="str">
        <f t="shared" si="3"/>
        <v/>
      </c>
      <c r="T19" s="1" t="str">
        <f>IF(A19="","",捏造NPC!AE19)</f>
        <v/>
      </c>
      <c r="U19" s="1" t="str">
        <f t="shared" si="4"/>
        <v/>
      </c>
      <c r="V19" s="1" t="str">
        <f t="shared" si="5"/>
        <v/>
      </c>
      <c r="W19" s="1" t="str">
        <f t="shared" si="6"/>
        <v/>
      </c>
      <c r="X19" s="1" t="str">
        <f t="shared" si="7"/>
        <v/>
      </c>
      <c r="Y19" s="1" t="str">
        <f>IF($A19="","",IF(捏造NPC!R19="",-1,$A19))</f>
        <v/>
      </c>
      <c r="Z19" s="1" t="str">
        <f t="shared" si="8"/>
        <v/>
      </c>
      <c r="AA19" s="1" t="str">
        <f t="shared" si="9"/>
        <v/>
      </c>
      <c r="AB19" s="1" t="str">
        <f t="shared" si="10"/>
        <v/>
      </c>
      <c r="AC19" s="1" t="str">
        <f t="shared" si="11"/>
        <v/>
      </c>
      <c r="AD19" s="1" t="str">
        <f t="shared" si="12"/>
        <v/>
      </c>
      <c r="AE19" s="1" t="str">
        <f t="shared" si="13"/>
        <v/>
      </c>
      <c r="AF19" s="1" t="str">
        <f t="shared" si="14"/>
        <v/>
      </c>
      <c r="AG19" s="1" t="str">
        <f t="shared" si="15"/>
        <v/>
      </c>
      <c r="AH19" s="1" t="str">
        <f t="shared" si="16"/>
        <v/>
      </c>
      <c r="AI19" s="1" t="str">
        <f>IF($A19="","",捏造NPC!Q19)</f>
        <v/>
      </c>
      <c r="AJ19" s="1" t="str">
        <f t="shared" si="17"/>
        <v/>
      </c>
      <c r="AK19" s="1" t="str">
        <f t="shared" si="18"/>
        <v/>
      </c>
      <c r="AL19" s="1" t="str">
        <f t="shared" si="19"/>
        <v/>
      </c>
      <c r="AM19" s="1" t="str">
        <f t="shared" si="20"/>
        <v/>
      </c>
      <c r="AN19" s="1" t="str">
        <f t="shared" si="21"/>
        <v/>
      </c>
      <c r="AO19" s="1" t="str">
        <f t="shared" si="22"/>
        <v/>
      </c>
      <c r="AP19" s="1" t="str">
        <f t="shared" si="23"/>
        <v/>
      </c>
      <c r="AQ19" s="1" t="str">
        <f t="shared" si="24"/>
        <v/>
      </c>
      <c r="AR19" s="1" t="str">
        <f t="shared" si="25"/>
        <v/>
      </c>
      <c r="AS19" s="1" t="str">
        <f t="shared" si="26"/>
        <v/>
      </c>
      <c r="AT19" s="1" t="str">
        <f t="shared" si="27"/>
        <v/>
      </c>
      <c r="AU19" s="1" t="str">
        <f t="shared" si="28"/>
        <v/>
      </c>
      <c r="AV19" s="1" t="str">
        <f t="shared" si="29"/>
        <v/>
      </c>
      <c r="AW19" s="1" t="str">
        <f t="shared" si="30"/>
        <v/>
      </c>
      <c r="AX19" s="1" t="str">
        <f t="shared" si="31"/>
        <v/>
      </c>
      <c r="AY19" s="1" t="str">
        <f t="shared" si="32"/>
        <v/>
      </c>
      <c r="AZ19" s="1" t="str">
        <f t="shared" si="33"/>
        <v/>
      </c>
      <c r="BA19" s="1" t="str">
        <f t="shared" si="34"/>
        <v/>
      </c>
      <c r="BB19" s="1" t="str">
        <f t="shared" si="35"/>
        <v/>
      </c>
      <c r="BC19" s="1" t="str">
        <f t="shared" si="36"/>
        <v/>
      </c>
      <c r="BD19" s="1" t="str">
        <f t="shared" si="37"/>
        <v/>
      </c>
      <c r="BE19" s="1" t="str">
        <f t="shared" si="38"/>
        <v/>
      </c>
      <c r="BF19" s="1" t="str">
        <f t="shared" si="39"/>
        <v/>
      </c>
      <c r="BG19" s="1" t="str">
        <f t="shared" si="40"/>
        <v/>
      </c>
      <c r="BH19" s="1" t="str">
        <f t="shared" si="41"/>
        <v/>
      </c>
      <c r="BI19" s="1" t="str">
        <f t="shared" si="42"/>
        <v/>
      </c>
      <c r="BJ19" s="1" t="str">
        <f t="shared" si="43"/>
        <v/>
      </c>
      <c r="BK19" s="1" t="str">
        <f t="shared" si="44"/>
        <v/>
      </c>
      <c r="BL19" s="1" t="str">
        <f t="shared" si="45"/>
        <v/>
      </c>
      <c r="BM19" s="1" t="str">
        <f t="shared" si="46"/>
        <v/>
      </c>
      <c r="BN19" s="1" t="str">
        <f t="shared" si="47"/>
        <v/>
      </c>
      <c r="BO19" s="1" t="str">
        <f t="shared" si="92"/>
        <v/>
      </c>
      <c r="BP19" s="1" t="str">
        <f t="shared" si="48"/>
        <v/>
      </c>
      <c r="BQ19" s="1" t="str">
        <f t="shared" si="49"/>
        <v/>
      </c>
      <c r="BR19" s="1" t="str">
        <f t="shared" si="50"/>
        <v/>
      </c>
      <c r="BS19" s="1" t="str">
        <f t="shared" si="51"/>
        <v/>
      </c>
      <c r="BT19" s="1" t="str">
        <f t="shared" si="52"/>
        <v/>
      </c>
      <c r="BU19" s="1" t="str">
        <f t="shared" si="53"/>
        <v/>
      </c>
      <c r="BV19" s="1" t="str">
        <f t="shared" si="54"/>
        <v/>
      </c>
      <c r="BW19" s="1" t="str">
        <f t="shared" si="55"/>
        <v/>
      </c>
      <c r="BX19" s="1" t="str">
        <f t="shared" si="56"/>
        <v/>
      </c>
      <c r="BY19" s="1" t="str">
        <f t="shared" si="57"/>
        <v/>
      </c>
      <c r="BZ19" s="1" t="str">
        <f t="shared" si="58"/>
        <v/>
      </c>
      <c r="CA19" s="1" t="str">
        <f t="shared" si="59"/>
        <v/>
      </c>
      <c r="CB19" s="1" t="str">
        <f t="shared" si="60"/>
        <v/>
      </c>
      <c r="CC19" s="1" t="str">
        <f t="shared" si="61"/>
        <v/>
      </c>
      <c r="CD19" s="1" t="str">
        <f t="shared" si="62"/>
        <v/>
      </c>
      <c r="CE19" s="1" t="str">
        <f t="shared" si="63"/>
        <v/>
      </c>
      <c r="CF19" s="1" t="str">
        <f t="shared" si="64"/>
        <v/>
      </c>
      <c r="CG19" s="1" t="str">
        <f t="shared" si="65"/>
        <v/>
      </c>
      <c r="CH19" s="1" t="str">
        <f t="shared" si="66"/>
        <v/>
      </c>
      <c r="CI19" s="1" t="str">
        <f t="shared" si="67"/>
        <v/>
      </c>
      <c r="CJ19" s="1" t="str">
        <f>IF($A19="","",IF(捏造NPC!P19="否",-1,捏造NPC!AC19))</f>
        <v/>
      </c>
      <c r="CK19" s="1" t="str">
        <f t="shared" si="68"/>
        <v/>
      </c>
      <c r="CL19" s="1" t="str">
        <f t="shared" si="69"/>
        <v/>
      </c>
      <c r="CM19" s="1" t="str">
        <f t="shared" si="70"/>
        <v/>
      </c>
      <c r="CN19" s="1" t="str">
        <f t="shared" si="71"/>
        <v/>
      </c>
      <c r="CO19" s="1" t="str">
        <f t="shared" si="72"/>
        <v/>
      </c>
      <c r="CP19" s="1" t="str">
        <f t="shared" si="73"/>
        <v/>
      </c>
      <c r="CQ19" s="1" t="str">
        <f t="shared" si="74"/>
        <v/>
      </c>
      <c r="CR19" s="1" t="str">
        <f t="shared" si="75"/>
        <v/>
      </c>
      <c r="CS19" s="1" t="str">
        <f t="shared" si="76"/>
        <v/>
      </c>
      <c r="CT19" s="1" t="str">
        <f t="shared" si="77"/>
        <v/>
      </c>
      <c r="CU19" s="1" t="str">
        <f t="shared" si="78"/>
        <v/>
      </c>
      <c r="CV19" s="1" t="str">
        <f t="shared" si="79"/>
        <v/>
      </c>
      <c r="CW19" s="1" t="str">
        <f t="shared" si="80"/>
        <v/>
      </c>
      <c r="CX19" s="1" t="str">
        <f t="shared" si="81"/>
        <v/>
      </c>
      <c r="CY19" s="1" t="str">
        <f t="shared" si="82"/>
        <v/>
      </c>
      <c r="CZ19" s="1" t="str">
        <f t="shared" si="83"/>
        <v/>
      </c>
      <c r="DA19" s="1" t="str">
        <f t="shared" si="84"/>
        <v/>
      </c>
      <c r="DB19" s="1" t="str">
        <f t="shared" si="85"/>
        <v/>
      </c>
      <c r="DC19" s="1" t="str">
        <f t="shared" si="86"/>
        <v/>
      </c>
      <c r="DD19" s="1" t="str">
        <f t="shared" si="87"/>
        <v/>
      </c>
      <c r="DE19" s="1" t="str">
        <f t="shared" si="88"/>
        <v/>
      </c>
      <c r="DF19" s="1" t="str">
        <f t="shared" si="89"/>
        <v/>
      </c>
      <c r="DG19" s="1" t="str">
        <f t="shared" si="90"/>
        <v/>
      </c>
    </row>
    <row r="20" spans="1:111">
      <c r="A20" s="1" t="str">
        <f>捏造NPC!A20</f>
        <v/>
      </c>
      <c r="B20" s="1" t="str">
        <f>IF($A20="","",捏造NPC!E20)</f>
        <v/>
      </c>
      <c r="C20" s="1" t="str">
        <f>IF($A20="","",捏造NPC!F20)</f>
        <v/>
      </c>
      <c r="D20" s="1" t="str">
        <f>IF($A20="","",捏造NPC!G20)</f>
        <v/>
      </c>
      <c r="E20" s="1" t="str">
        <f>IF($A20="","",捏造NPC!T20)</f>
        <v/>
      </c>
      <c r="F20" s="1" t="str">
        <f>IF($A20="","",IF(捏造NPC!P20="否",1,捏造NPC!U20))</f>
        <v/>
      </c>
      <c r="G20" s="1" t="str">
        <f>IF($A20="","",捏造NPC!W20)</f>
        <v/>
      </c>
      <c r="H20" s="1" t="str">
        <f>IF($A20="","",IF(捏造NPC!P20="否",-1,捏造NPC!X20))</f>
        <v/>
      </c>
      <c r="I20" s="1" t="str">
        <f>IF($A20="","",IF(捏造NPC!P20="否",-1,捏造NPC!Y20))</f>
        <v/>
      </c>
      <c r="J20" s="1" t="str">
        <f>IF($A20="","",IF(捏造NPC!P20="否",2500,捏造NPC!Z20))</f>
        <v/>
      </c>
      <c r="K20" s="1" t="str">
        <f t="shared" si="93"/>
        <v/>
      </c>
      <c r="L20" s="1" t="str">
        <f>IF(A20="","",捏造NPC!AB20)</f>
        <v/>
      </c>
      <c r="M20" s="1" t="str">
        <f>IF(捏造NPC!P20="否",0,IF(捏造NPC!P20="是",500,""))</f>
        <v/>
      </c>
      <c r="N20" s="1" t="str">
        <f>IF(捏造NPC!P20="否",0,IF(捏造NPC!P20="是",12,""))</f>
        <v/>
      </c>
      <c r="P20" s="1" t="str">
        <f t="shared" si="1"/>
        <v/>
      </c>
      <c r="Q20" s="1" t="str">
        <f t="shared" si="2"/>
        <v/>
      </c>
      <c r="R20" s="1" t="str">
        <f t="shared" si="91"/>
        <v/>
      </c>
      <c r="S20" s="1" t="str">
        <f t="shared" si="3"/>
        <v/>
      </c>
      <c r="T20" s="1" t="str">
        <f>IF(A20="","",捏造NPC!AE20)</f>
        <v/>
      </c>
      <c r="U20" s="1" t="str">
        <f t="shared" si="4"/>
        <v/>
      </c>
      <c r="V20" s="1" t="str">
        <f t="shared" si="5"/>
        <v/>
      </c>
      <c r="W20" s="1" t="str">
        <f t="shared" si="6"/>
        <v/>
      </c>
      <c r="X20" s="1" t="str">
        <f t="shared" si="7"/>
        <v/>
      </c>
      <c r="Y20" s="1" t="str">
        <f>IF($A20="","",IF(捏造NPC!R20="",-1,$A20))</f>
        <v/>
      </c>
      <c r="Z20" s="1" t="str">
        <f t="shared" si="8"/>
        <v/>
      </c>
      <c r="AA20" s="1" t="str">
        <f t="shared" si="9"/>
        <v/>
      </c>
      <c r="AB20" s="1" t="str">
        <f t="shared" si="10"/>
        <v/>
      </c>
      <c r="AC20" s="1" t="str">
        <f t="shared" si="11"/>
        <v/>
      </c>
      <c r="AD20" s="1" t="str">
        <f t="shared" si="12"/>
        <v/>
      </c>
      <c r="AE20" s="1" t="str">
        <f t="shared" si="13"/>
        <v/>
      </c>
      <c r="AF20" s="1" t="str">
        <f t="shared" si="14"/>
        <v/>
      </c>
      <c r="AG20" s="1" t="str">
        <f t="shared" si="15"/>
        <v/>
      </c>
      <c r="AH20" s="1" t="str">
        <f t="shared" si="16"/>
        <v/>
      </c>
      <c r="AI20" s="1" t="str">
        <f>IF($A20="","",捏造NPC!Q20)</f>
        <v/>
      </c>
      <c r="AJ20" s="1" t="str">
        <f t="shared" si="17"/>
        <v/>
      </c>
      <c r="AK20" s="1" t="str">
        <f t="shared" si="18"/>
        <v/>
      </c>
      <c r="AL20" s="1" t="str">
        <f t="shared" si="19"/>
        <v/>
      </c>
      <c r="AM20" s="1" t="str">
        <f t="shared" si="20"/>
        <v/>
      </c>
      <c r="AN20" s="1" t="str">
        <f t="shared" si="21"/>
        <v/>
      </c>
      <c r="AO20" s="1" t="str">
        <f t="shared" si="22"/>
        <v/>
      </c>
      <c r="AP20" s="1" t="str">
        <f t="shared" si="23"/>
        <v/>
      </c>
      <c r="AQ20" s="1" t="str">
        <f t="shared" si="24"/>
        <v/>
      </c>
      <c r="AR20" s="1" t="str">
        <f t="shared" si="25"/>
        <v/>
      </c>
      <c r="AS20" s="1" t="str">
        <f t="shared" si="26"/>
        <v/>
      </c>
      <c r="AT20" s="1" t="str">
        <f t="shared" si="27"/>
        <v/>
      </c>
      <c r="AU20" s="1" t="str">
        <f t="shared" si="28"/>
        <v/>
      </c>
      <c r="AV20" s="1" t="str">
        <f t="shared" si="29"/>
        <v/>
      </c>
      <c r="AW20" s="1" t="str">
        <f t="shared" si="30"/>
        <v/>
      </c>
      <c r="AX20" s="1" t="str">
        <f t="shared" si="31"/>
        <v/>
      </c>
      <c r="AY20" s="1" t="str">
        <f t="shared" si="32"/>
        <v/>
      </c>
      <c r="AZ20" s="1" t="str">
        <f t="shared" si="33"/>
        <v/>
      </c>
      <c r="BA20" s="1" t="str">
        <f t="shared" si="34"/>
        <v/>
      </c>
      <c r="BB20" s="1" t="str">
        <f t="shared" si="35"/>
        <v/>
      </c>
      <c r="BC20" s="1" t="str">
        <f t="shared" si="36"/>
        <v/>
      </c>
      <c r="BD20" s="1" t="str">
        <f t="shared" si="37"/>
        <v/>
      </c>
      <c r="BE20" s="1" t="str">
        <f t="shared" si="38"/>
        <v/>
      </c>
      <c r="BF20" s="1" t="str">
        <f t="shared" si="39"/>
        <v/>
      </c>
      <c r="BG20" s="1" t="str">
        <f t="shared" si="40"/>
        <v/>
      </c>
      <c r="BH20" s="1" t="str">
        <f t="shared" si="41"/>
        <v/>
      </c>
      <c r="BI20" s="1" t="str">
        <f t="shared" si="42"/>
        <v/>
      </c>
      <c r="BJ20" s="1" t="str">
        <f t="shared" si="43"/>
        <v/>
      </c>
      <c r="BK20" s="1" t="str">
        <f t="shared" si="44"/>
        <v/>
      </c>
      <c r="BL20" s="1" t="str">
        <f t="shared" si="45"/>
        <v/>
      </c>
      <c r="BM20" s="1" t="str">
        <f t="shared" si="46"/>
        <v/>
      </c>
      <c r="BN20" s="1" t="str">
        <f t="shared" si="47"/>
        <v/>
      </c>
      <c r="BO20" s="1" t="str">
        <f t="shared" si="92"/>
        <v/>
      </c>
      <c r="BP20" s="1" t="str">
        <f t="shared" si="48"/>
        <v/>
      </c>
      <c r="BQ20" s="1" t="str">
        <f t="shared" si="49"/>
        <v/>
      </c>
      <c r="BR20" s="1" t="str">
        <f t="shared" si="50"/>
        <v/>
      </c>
      <c r="BS20" s="1" t="str">
        <f t="shared" si="51"/>
        <v/>
      </c>
      <c r="BT20" s="1" t="str">
        <f t="shared" si="52"/>
        <v/>
      </c>
      <c r="BU20" s="1" t="str">
        <f t="shared" si="53"/>
        <v/>
      </c>
      <c r="BV20" s="1" t="str">
        <f t="shared" si="54"/>
        <v/>
      </c>
      <c r="BW20" s="1" t="str">
        <f t="shared" si="55"/>
        <v/>
      </c>
      <c r="BX20" s="1" t="str">
        <f t="shared" si="56"/>
        <v/>
      </c>
      <c r="BY20" s="1" t="str">
        <f t="shared" si="57"/>
        <v/>
      </c>
      <c r="BZ20" s="1" t="str">
        <f t="shared" si="58"/>
        <v/>
      </c>
      <c r="CA20" s="1" t="str">
        <f t="shared" si="59"/>
        <v/>
      </c>
      <c r="CB20" s="1" t="str">
        <f t="shared" si="60"/>
        <v/>
      </c>
      <c r="CC20" s="1" t="str">
        <f t="shared" si="61"/>
        <v/>
      </c>
      <c r="CD20" s="1" t="str">
        <f t="shared" si="62"/>
        <v/>
      </c>
      <c r="CE20" s="1" t="str">
        <f t="shared" si="63"/>
        <v/>
      </c>
      <c r="CF20" s="1" t="str">
        <f t="shared" si="64"/>
        <v/>
      </c>
      <c r="CG20" s="1" t="str">
        <f t="shared" si="65"/>
        <v/>
      </c>
      <c r="CH20" s="1" t="str">
        <f t="shared" si="66"/>
        <v/>
      </c>
      <c r="CI20" s="1" t="str">
        <f t="shared" si="67"/>
        <v/>
      </c>
      <c r="CJ20" s="1" t="str">
        <f>IF($A20="","",IF(捏造NPC!P20="否",-1,捏造NPC!AC20))</f>
        <v/>
      </c>
      <c r="CK20" s="1" t="str">
        <f t="shared" si="68"/>
        <v/>
      </c>
      <c r="CL20" s="1" t="str">
        <f t="shared" si="69"/>
        <v/>
      </c>
      <c r="CM20" s="1" t="str">
        <f t="shared" si="70"/>
        <v/>
      </c>
      <c r="CN20" s="1" t="str">
        <f t="shared" si="71"/>
        <v/>
      </c>
      <c r="CO20" s="1" t="str">
        <f t="shared" si="72"/>
        <v/>
      </c>
      <c r="CP20" s="1" t="str">
        <f t="shared" si="73"/>
        <v/>
      </c>
      <c r="CQ20" s="1" t="str">
        <f t="shared" si="74"/>
        <v/>
      </c>
      <c r="CR20" s="1" t="str">
        <f t="shared" si="75"/>
        <v/>
      </c>
      <c r="CS20" s="1" t="str">
        <f t="shared" si="76"/>
        <v/>
      </c>
      <c r="CT20" s="1" t="str">
        <f t="shared" si="77"/>
        <v/>
      </c>
      <c r="CU20" s="1" t="str">
        <f t="shared" si="78"/>
        <v/>
      </c>
      <c r="CV20" s="1" t="str">
        <f t="shared" si="79"/>
        <v/>
      </c>
      <c r="CW20" s="1" t="str">
        <f t="shared" si="80"/>
        <v/>
      </c>
      <c r="CX20" s="1" t="str">
        <f t="shared" si="81"/>
        <v/>
      </c>
      <c r="CY20" s="1" t="str">
        <f t="shared" si="82"/>
        <v/>
      </c>
      <c r="CZ20" s="1" t="str">
        <f t="shared" si="83"/>
        <v/>
      </c>
      <c r="DA20" s="1" t="str">
        <f t="shared" si="84"/>
        <v/>
      </c>
      <c r="DB20" s="1" t="str">
        <f t="shared" si="85"/>
        <v/>
      </c>
      <c r="DC20" s="1" t="str">
        <f t="shared" si="86"/>
        <v/>
      </c>
      <c r="DD20" s="1" t="str">
        <f t="shared" si="87"/>
        <v/>
      </c>
      <c r="DE20" s="1" t="str">
        <f t="shared" si="88"/>
        <v/>
      </c>
      <c r="DF20" s="1" t="str">
        <f t="shared" si="89"/>
        <v/>
      </c>
      <c r="DG20" s="1" t="str">
        <f t="shared" si="90"/>
        <v/>
      </c>
    </row>
    <row r="21" spans="1:111">
      <c r="A21" s="1" t="str">
        <f>捏造NPC!A21</f>
        <v/>
      </c>
      <c r="B21" s="1" t="str">
        <f>IF($A21="","",捏造NPC!E21)</f>
        <v/>
      </c>
      <c r="C21" s="1" t="str">
        <f>IF($A21="","",捏造NPC!F21)</f>
        <v/>
      </c>
      <c r="D21" s="1" t="str">
        <f>IF($A21="","",捏造NPC!G21)</f>
        <v/>
      </c>
      <c r="E21" s="1" t="str">
        <f>IF($A21="","",捏造NPC!T21)</f>
        <v/>
      </c>
      <c r="F21" s="1" t="str">
        <f>IF($A21="","",IF(捏造NPC!P21="否",1,捏造NPC!U21))</f>
        <v/>
      </c>
      <c r="G21" s="1" t="str">
        <f>IF($A21="","",捏造NPC!W21)</f>
        <v/>
      </c>
      <c r="H21" s="1" t="str">
        <f>IF($A21="","",IF(捏造NPC!P21="否",-1,捏造NPC!X21))</f>
        <v/>
      </c>
      <c r="I21" s="1" t="str">
        <f>IF($A21="","",IF(捏造NPC!P21="否",-1,捏造NPC!Y21))</f>
        <v/>
      </c>
      <c r="J21" s="1" t="str">
        <f>IF($A21="","",IF(捏造NPC!P21="否",2500,捏造NPC!Z21))</f>
        <v/>
      </c>
      <c r="K21" s="1" t="str">
        <f t="shared" si="93"/>
        <v/>
      </c>
      <c r="L21" s="1" t="str">
        <f>IF(A21="","",捏造NPC!AB21)</f>
        <v/>
      </c>
      <c r="M21" s="1" t="str">
        <f>IF(捏造NPC!P21="否",0,IF(捏造NPC!P21="是",500,""))</f>
        <v/>
      </c>
      <c r="N21" s="1" t="str">
        <f>IF(捏造NPC!P21="否",0,IF(捏造NPC!P21="是",12,""))</f>
        <v/>
      </c>
      <c r="P21" s="1" t="str">
        <f t="shared" si="1"/>
        <v/>
      </c>
      <c r="Q21" s="1" t="str">
        <f t="shared" si="2"/>
        <v/>
      </c>
      <c r="R21" s="1" t="str">
        <f t="shared" si="91"/>
        <v/>
      </c>
      <c r="S21" s="1" t="str">
        <f t="shared" si="3"/>
        <v/>
      </c>
      <c r="T21" s="1" t="str">
        <f>IF(A21="","",捏造NPC!AE21)</f>
        <v/>
      </c>
      <c r="U21" s="1" t="str">
        <f t="shared" si="4"/>
        <v/>
      </c>
      <c r="V21" s="1" t="str">
        <f t="shared" si="5"/>
        <v/>
      </c>
      <c r="W21" s="1" t="str">
        <f t="shared" si="6"/>
        <v/>
      </c>
      <c r="X21" s="1" t="str">
        <f t="shared" si="7"/>
        <v/>
      </c>
      <c r="Y21" s="1" t="str">
        <f>IF($A21="","",IF(捏造NPC!R21="",-1,$A21))</f>
        <v/>
      </c>
      <c r="Z21" s="1" t="str">
        <f t="shared" si="8"/>
        <v/>
      </c>
      <c r="AA21" s="1" t="str">
        <f t="shared" si="9"/>
        <v/>
      </c>
      <c r="AB21" s="1" t="str">
        <f t="shared" si="10"/>
        <v/>
      </c>
      <c r="AC21" s="1" t="str">
        <f t="shared" si="11"/>
        <v/>
      </c>
      <c r="AD21" s="1" t="str">
        <f t="shared" si="12"/>
        <v/>
      </c>
      <c r="AE21" s="1" t="str">
        <f t="shared" si="13"/>
        <v/>
      </c>
      <c r="AF21" s="1" t="str">
        <f t="shared" si="14"/>
        <v/>
      </c>
      <c r="AG21" s="1" t="str">
        <f t="shared" si="15"/>
        <v/>
      </c>
      <c r="AH21" s="1" t="str">
        <f t="shared" si="16"/>
        <v/>
      </c>
      <c r="AI21" s="1" t="str">
        <f>IF($A21="","",捏造NPC!Q21)</f>
        <v/>
      </c>
      <c r="AJ21" s="1" t="str">
        <f t="shared" si="17"/>
        <v/>
      </c>
      <c r="AK21" s="1" t="str">
        <f t="shared" si="18"/>
        <v/>
      </c>
      <c r="AL21" s="1" t="str">
        <f t="shared" si="19"/>
        <v/>
      </c>
      <c r="AM21" s="1" t="str">
        <f t="shared" si="20"/>
        <v/>
      </c>
      <c r="AN21" s="1" t="str">
        <f t="shared" si="21"/>
        <v/>
      </c>
      <c r="AO21" s="1" t="str">
        <f t="shared" si="22"/>
        <v/>
      </c>
      <c r="AP21" s="1" t="str">
        <f t="shared" si="23"/>
        <v/>
      </c>
      <c r="AQ21" s="1" t="str">
        <f t="shared" si="24"/>
        <v/>
      </c>
      <c r="AR21" s="1" t="str">
        <f t="shared" si="25"/>
        <v/>
      </c>
      <c r="AS21" s="1" t="str">
        <f t="shared" si="26"/>
        <v/>
      </c>
      <c r="AT21" s="1" t="str">
        <f t="shared" si="27"/>
        <v/>
      </c>
      <c r="AU21" s="1" t="str">
        <f t="shared" si="28"/>
        <v/>
      </c>
      <c r="AV21" s="1" t="str">
        <f t="shared" si="29"/>
        <v/>
      </c>
      <c r="AW21" s="1" t="str">
        <f t="shared" si="30"/>
        <v/>
      </c>
      <c r="AX21" s="1" t="str">
        <f t="shared" si="31"/>
        <v/>
      </c>
      <c r="AY21" s="1" t="str">
        <f t="shared" si="32"/>
        <v/>
      </c>
      <c r="AZ21" s="1" t="str">
        <f t="shared" si="33"/>
        <v/>
      </c>
      <c r="BA21" s="1" t="str">
        <f t="shared" si="34"/>
        <v/>
      </c>
      <c r="BB21" s="1" t="str">
        <f t="shared" si="35"/>
        <v/>
      </c>
      <c r="BC21" s="1" t="str">
        <f t="shared" si="36"/>
        <v/>
      </c>
      <c r="BD21" s="1" t="str">
        <f t="shared" si="37"/>
        <v/>
      </c>
      <c r="BE21" s="1" t="str">
        <f t="shared" si="38"/>
        <v/>
      </c>
      <c r="BF21" s="1" t="str">
        <f t="shared" si="39"/>
        <v/>
      </c>
      <c r="BG21" s="1" t="str">
        <f t="shared" si="40"/>
        <v/>
      </c>
      <c r="BH21" s="1" t="str">
        <f t="shared" si="41"/>
        <v/>
      </c>
      <c r="BI21" s="1" t="str">
        <f t="shared" si="42"/>
        <v/>
      </c>
      <c r="BJ21" s="1" t="str">
        <f t="shared" si="43"/>
        <v/>
      </c>
      <c r="BK21" s="1" t="str">
        <f t="shared" si="44"/>
        <v/>
      </c>
      <c r="BL21" s="1" t="str">
        <f t="shared" si="45"/>
        <v/>
      </c>
      <c r="BM21" s="1" t="str">
        <f t="shared" si="46"/>
        <v/>
      </c>
      <c r="BN21" s="1" t="str">
        <f t="shared" si="47"/>
        <v/>
      </c>
      <c r="BO21" s="1" t="str">
        <f t="shared" si="92"/>
        <v/>
      </c>
      <c r="BP21" s="1" t="str">
        <f t="shared" si="48"/>
        <v/>
      </c>
      <c r="BQ21" s="1" t="str">
        <f t="shared" si="49"/>
        <v/>
      </c>
      <c r="BR21" s="1" t="str">
        <f t="shared" si="50"/>
        <v/>
      </c>
      <c r="BS21" s="1" t="str">
        <f t="shared" si="51"/>
        <v/>
      </c>
      <c r="BT21" s="1" t="str">
        <f t="shared" si="52"/>
        <v/>
      </c>
      <c r="BU21" s="1" t="str">
        <f t="shared" si="53"/>
        <v/>
      </c>
      <c r="BV21" s="1" t="str">
        <f t="shared" si="54"/>
        <v/>
      </c>
      <c r="BW21" s="1" t="str">
        <f t="shared" si="55"/>
        <v/>
      </c>
      <c r="BX21" s="1" t="str">
        <f t="shared" si="56"/>
        <v/>
      </c>
      <c r="BY21" s="1" t="str">
        <f t="shared" si="57"/>
        <v/>
      </c>
      <c r="BZ21" s="1" t="str">
        <f t="shared" si="58"/>
        <v/>
      </c>
      <c r="CA21" s="1" t="str">
        <f t="shared" si="59"/>
        <v/>
      </c>
      <c r="CB21" s="1" t="str">
        <f t="shared" si="60"/>
        <v/>
      </c>
      <c r="CC21" s="1" t="str">
        <f t="shared" si="61"/>
        <v/>
      </c>
      <c r="CD21" s="1" t="str">
        <f t="shared" si="62"/>
        <v/>
      </c>
      <c r="CE21" s="1" t="str">
        <f t="shared" si="63"/>
        <v/>
      </c>
      <c r="CF21" s="1" t="str">
        <f t="shared" si="64"/>
        <v/>
      </c>
      <c r="CG21" s="1" t="str">
        <f t="shared" si="65"/>
        <v/>
      </c>
      <c r="CH21" s="1" t="str">
        <f t="shared" si="66"/>
        <v/>
      </c>
      <c r="CI21" s="1" t="str">
        <f t="shared" si="67"/>
        <v/>
      </c>
      <c r="CJ21" s="1" t="str">
        <f>IF($A21="","",IF(捏造NPC!P21="否",-1,捏造NPC!AC21))</f>
        <v/>
      </c>
      <c r="CK21" s="1" t="str">
        <f t="shared" si="68"/>
        <v/>
      </c>
      <c r="CL21" s="1" t="str">
        <f t="shared" si="69"/>
        <v/>
      </c>
      <c r="CM21" s="1" t="str">
        <f t="shared" si="70"/>
        <v/>
      </c>
      <c r="CN21" s="1" t="str">
        <f t="shared" si="71"/>
        <v/>
      </c>
      <c r="CO21" s="1" t="str">
        <f t="shared" si="72"/>
        <v/>
      </c>
      <c r="CP21" s="1" t="str">
        <f t="shared" si="73"/>
        <v/>
      </c>
      <c r="CQ21" s="1" t="str">
        <f t="shared" si="74"/>
        <v/>
      </c>
      <c r="CR21" s="1" t="str">
        <f t="shared" si="75"/>
        <v/>
      </c>
      <c r="CS21" s="1" t="str">
        <f t="shared" si="76"/>
        <v/>
      </c>
      <c r="CT21" s="1" t="str">
        <f t="shared" si="77"/>
        <v/>
      </c>
      <c r="CU21" s="1" t="str">
        <f t="shared" si="78"/>
        <v/>
      </c>
      <c r="CV21" s="1" t="str">
        <f t="shared" si="79"/>
        <v/>
      </c>
      <c r="CW21" s="1" t="str">
        <f t="shared" si="80"/>
        <v/>
      </c>
      <c r="CX21" s="1" t="str">
        <f t="shared" si="81"/>
        <v/>
      </c>
      <c r="CY21" s="1" t="str">
        <f t="shared" si="82"/>
        <v/>
      </c>
      <c r="CZ21" s="1" t="str">
        <f t="shared" si="83"/>
        <v/>
      </c>
      <c r="DA21" s="1" t="str">
        <f t="shared" si="84"/>
        <v/>
      </c>
      <c r="DB21" s="1" t="str">
        <f t="shared" si="85"/>
        <v/>
      </c>
      <c r="DC21" s="1" t="str">
        <f t="shared" si="86"/>
        <v/>
      </c>
      <c r="DD21" s="1" t="str">
        <f t="shared" si="87"/>
        <v/>
      </c>
      <c r="DE21" s="1" t="str">
        <f t="shared" si="88"/>
        <v/>
      </c>
      <c r="DF21" s="1" t="str">
        <f t="shared" si="89"/>
        <v/>
      </c>
      <c r="DG21" s="1" t="str">
        <f t="shared" si="90"/>
        <v/>
      </c>
    </row>
    <row r="22" spans="1:111">
      <c r="A22" s="1" t="str">
        <f>捏造NPC!A22</f>
        <v/>
      </c>
      <c r="B22" s="1" t="str">
        <f>IF($A22="","",捏造NPC!E22)</f>
        <v/>
      </c>
      <c r="C22" s="1" t="str">
        <f>IF($A22="","",捏造NPC!F22)</f>
        <v/>
      </c>
      <c r="D22" s="1" t="str">
        <f>IF($A22="","",捏造NPC!G22)</f>
        <v/>
      </c>
      <c r="E22" s="1" t="str">
        <f>IF($A22="","",捏造NPC!T22)</f>
        <v/>
      </c>
      <c r="F22" s="1" t="str">
        <f>IF($A22="","",IF(捏造NPC!P22="否",1,捏造NPC!U22))</f>
        <v/>
      </c>
      <c r="G22" s="1" t="str">
        <f>IF($A22="","",捏造NPC!W22)</f>
        <v/>
      </c>
      <c r="H22" s="1" t="str">
        <f>IF($A22="","",IF(捏造NPC!P22="否",-1,捏造NPC!X22))</f>
        <v/>
      </c>
      <c r="I22" s="1" t="str">
        <f>IF($A22="","",IF(捏造NPC!P22="否",-1,捏造NPC!Y22))</f>
        <v/>
      </c>
      <c r="J22" s="1" t="str">
        <f>IF($A22="","",IF(捏造NPC!P22="否",2500,捏造NPC!Z22))</f>
        <v/>
      </c>
      <c r="K22" s="1" t="str">
        <f t="shared" si="93"/>
        <v/>
      </c>
      <c r="L22" s="1" t="str">
        <f>IF(A22="","",捏造NPC!AB22)</f>
        <v/>
      </c>
      <c r="M22" s="1" t="str">
        <f>IF(捏造NPC!P22="否",0,IF(捏造NPC!P22="是",500,""))</f>
        <v/>
      </c>
      <c r="N22" s="1" t="str">
        <f>IF(捏造NPC!P22="否",0,IF(捏造NPC!P22="是",12,""))</f>
        <v/>
      </c>
      <c r="P22" s="1" t="str">
        <f t="shared" si="1"/>
        <v/>
      </c>
      <c r="Q22" s="1" t="str">
        <f t="shared" si="2"/>
        <v/>
      </c>
      <c r="R22" s="1" t="str">
        <f t="shared" si="91"/>
        <v/>
      </c>
      <c r="S22" s="1" t="str">
        <f t="shared" si="3"/>
        <v/>
      </c>
      <c r="T22" s="1" t="str">
        <f>IF(A22="","",捏造NPC!AE22)</f>
        <v/>
      </c>
      <c r="U22" s="1" t="str">
        <f t="shared" si="4"/>
        <v/>
      </c>
      <c r="V22" s="1" t="str">
        <f t="shared" si="5"/>
        <v/>
      </c>
      <c r="W22" s="1" t="str">
        <f t="shared" si="6"/>
        <v/>
      </c>
      <c r="X22" s="1" t="str">
        <f t="shared" si="7"/>
        <v/>
      </c>
      <c r="Y22" s="1" t="str">
        <f>IF($A22="","",IF(捏造NPC!R22="",-1,$A22))</f>
        <v/>
      </c>
      <c r="Z22" s="1" t="str">
        <f t="shared" si="8"/>
        <v/>
      </c>
      <c r="AA22" s="1" t="str">
        <f t="shared" si="9"/>
        <v/>
      </c>
      <c r="AB22" s="1" t="str">
        <f t="shared" si="10"/>
        <v/>
      </c>
      <c r="AC22" s="1" t="str">
        <f t="shared" si="11"/>
        <v/>
      </c>
      <c r="AD22" s="1" t="str">
        <f t="shared" si="12"/>
        <v/>
      </c>
      <c r="AE22" s="1" t="str">
        <f t="shared" si="13"/>
        <v/>
      </c>
      <c r="AF22" s="1" t="str">
        <f t="shared" si="14"/>
        <v/>
      </c>
      <c r="AG22" s="1" t="str">
        <f t="shared" si="15"/>
        <v/>
      </c>
      <c r="AH22" s="1" t="str">
        <f t="shared" si="16"/>
        <v/>
      </c>
      <c r="AI22" s="1" t="str">
        <f>IF($A22="","",捏造NPC!Q22)</f>
        <v/>
      </c>
      <c r="AJ22" s="1" t="str">
        <f t="shared" si="17"/>
        <v/>
      </c>
      <c r="AK22" s="1" t="str">
        <f t="shared" si="18"/>
        <v/>
      </c>
      <c r="AL22" s="1" t="str">
        <f t="shared" si="19"/>
        <v/>
      </c>
      <c r="AM22" s="1" t="str">
        <f t="shared" si="20"/>
        <v/>
      </c>
      <c r="AN22" s="1" t="str">
        <f t="shared" si="21"/>
        <v/>
      </c>
      <c r="AO22" s="1" t="str">
        <f t="shared" si="22"/>
        <v/>
      </c>
      <c r="AP22" s="1" t="str">
        <f t="shared" si="23"/>
        <v/>
      </c>
      <c r="AQ22" s="1" t="str">
        <f t="shared" si="24"/>
        <v/>
      </c>
      <c r="AR22" s="1" t="str">
        <f t="shared" si="25"/>
        <v/>
      </c>
      <c r="AS22" s="1" t="str">
        <f t="shared" si="26"/>
        <v/>
      </c>
      <c r="AT22" s="1" t="str">
        <f t="shared" si="27"/>
        <v/>
      </c>
      <c r="AU22" s="1" t="str">
        <f t="shared" si="28"/>
        <v/>
      </c>
      <c r="AV22" s="1" t="str">
        <f t="shared" si="29"/>
        <v/>
      </c>
      <c r="AW22" s="1" t="str">
        <f t="shared" si="30"/>
        <v/>
      </c>
      <c r="AX22" s="1" t="str">
        <f t="shared" si="31"/>
        <v/>
      </c>
      <c r="AY22" s="1" t="str">
        <f t="shared" si="32"/>
        <v/>
      </c>
      <c r="AZ22" s="1" t="str">
        <f t="shared" si="33"/>
        <v/>
      </c>
      <c r="BA22" s="1" t="str">
        <f t="shared" si="34"/>
        <v/>
      </c>
      <c r="BB22" s="1" t="str">
        <f t="shared" si="35"/>
        <v/>
      </c>
      <c r="BC22" s="1" t="str">
        <f t="shared" si="36"/>
        <v/>
      </c>
      <c r="BD22" s="1" t="str">
        <f t="shared" si="37"/>
        <v/>
      </c>
      <c r="BE22" s="1" t="str">
        <f t="shared" si="38"/>
        <v/>
      </c>
      <c r="BF22" s="1" t="str">
        <f t="shared" si="39"/>
        <v/>
      </c>
      <c r="BG22" s="1" t="str">
        <f t="shared" si="40"/>
        <v/>
      </c>
      <c r="BH22" s="1" t="str">
        <f t="shared" si="41"/>
        <v/>
      </c>
      <c r="BI22" s="1" t="str">
        <f t="shared" si="42"/>
        <v/>
      </c>
      <c r="BJ22" s="1" t="str">
        <f t="shared" si="43"/>
        <v/>
      </c>
      <c r="BK22" s="1" t="str">
        <f t="shared" si="44"/>
        <v/>
      </c>
      <c r="BL22" s="1" t="str">
        <f t="shared" si="45"/>
        <v/>
      </c>
      <c r="BM22" s="1" t="str">
        <f t="shared" si="46"/>
        <v/>
      </c>
      <c r="BN22" s="1" t="str">
        <f t="shared" si="47"/>
        <v/>
      </c>
      <c r="BO22" s="1" t="str">
        <f t="shared" si="92"/>
        <v/>
      </c>
      <c r="BP22" s="1" t="str">
        <f t="shared" si="48"/>
        <v/>
      </c>
      <c r="BQ22" s="1" t="str">
        <f t="shared" si="49"/>
        <v/>
      </c>
      <c r="BR22" s="1" t="str">
        <f t="shared" si="50"/>
        <v/>
      </c>
      <c r="BS22" s="1" t="str">
        <f t="shared" si="51"/>
        <v/>
      </c>
      <c r="BT22" s="1" t="str">
        <f t="shared" si="52"/>
        <v/>
      </c>
      <c r="BU22" s="1" t="str">
        <f t="shared" si="53"/>
        <v/>
      </c>
      <c r="BV22" s="1" t="str">
        <f t="shared" si="54"/>
        <v/>
      </c>
      <c r="BW22" s="1" t="str">
        <f t="shared" si="55"/>
        <v/>
      </c>
      <c r="BX22" s="1" t="str">
        <f t="shared" si="56"/>
        <v/>
      </c>
      <c r="BY22" s="1" t="str">
        <f t="shared" si="57"/>
        <v/>
      </c>
      <c r="BZ22" s="1" t="str">
        <f t="shared" si="58"/>
        <v/>
      </c>
      <c r="CA22" s="1" t="str">
        <f t="shared" si="59"/>
        <v/>
      </c>
      <c r="CB22" s="1" t="str">
        <f t="shared" si="60"/>
        <v/>
      </c>
      <c r="CC22" s="1" t="str">
        <f t="shared" si="61"/>
        <v/>
      </c>
      <c r="CD22" s="1" t="str">
        <f t="shared" si="62"/>
        <v/>
      </c>
      <c r="CE22" s="1" t="str">
        <f t="shared" si="63"/>
        <v/>
      </c>
      <c r="CF22" s="1" t="str">
        <f t="shared" si="64"/>
        <v/>
      </c>
      <c r="CG22" s="1" t="str">
        <f t="shared" si="65"/>
        <v/>
      </c>
      <c r="CH22" s="1" t="str">
        <f t="shared" si="66"/>
        <v/>
      </c>
      <c r="CI22" s="1" t="str">
        <f t="shared" si="67"/>
        <v/>
      </c>
      <c r="CJ22" s="1" t="str">
        <f>IF($A22="","",IF(捏造NPC!P22="否",-1,捏造NPC!AC22))</f>
        <v/>
      </c>
      <c r="CK22" s="1" t="str">
        <f t="shared" si="68"/>
        <v/>
      </c>
      <c r="CL22" s="1" t="str">
        <f t="shared" si="69"/>
        <v/>
      </c>
      <c r="CM22" s="1" t="str">
        <f t="shared" si="70"/>
        <v/>
      </c>
      <c r="CN22" s="1" t="str">
        <f t="shared" si="71"/>
        <v/>
      </c>
      <c r="CO22" s="1" t="str">
        <f t="shared" si="72"/>
        <v/>
      </c>
      <c r="CP22" s="1" t="str">
        <f t="shared" si="73"/>
        <v/>
      </c>
      <c r="CQ22" s="1" t="str">
        <f t="shared" si="74"/>
        <v/>
      </c>
      <c r="CR22" s="1" t="str">
        <f t="shared" si="75"/>
        <v/>
      </c>
      <c r="CS22" s="1" t="str">
        <f t="shared" si="76"/>
        <v/>
      </c>
      <c r="CT22" s="1" t="str">
        <f t="shared" si="77"/>
        <v/>
      </c>
      <c r="CU22" s="1" t="str">
        <f t="shared" si="78"/>
        <v/>
      </c>
      <c r="CV22" s="1" t="str">
        <f t="shared" si="79"/>
        <v/>
      </c>
      <c r="CW22" s="1" t="str">
        <f t="shared" si="80"/>
        <v/>
      </c>
      <c r="CX22" s="1" t="str">
        <f t="shared" si="81"/>
        <v/>
      </c>
      <c r="CY22" s="1" t="str">
        <f t="shared" si="82"/>
        <v/>
      </c>
      <c r="CZ22" s="1" t="str">
        <f t="shared" si="83"/>
        <v/>
      </c>
      <c r="DA22" s="1" t="str">
        <f t="shared" si="84"/>
        <v/>
      </c>
      <c r="DB22" s="1" t="str">
        <f t="shared" si="85"/>
        <v/>
      </c>
      <c r="DC22" s="1" t="str">
        <f t="shared" si="86"/>
        <v/>
      </c>
      <c r="DD22" s="1" t="str">
        <f t="shared" si="87"/>
        <v/>
      </c>
      <c r="DE22" s="1" t="str">
        <f t="shared" si="88"/>
        <v/>
      </c>
      <c r="DF22" s="1" t="str">
        <f t="shared" si="89"/>
        <v/>
      </c>
      <c r="DG22" s="1" t="str">
        <f t="shared" si="90"/>
        <v/>
      </c>
    </row>
    <row r="23" spans="1:111">
      <c r="A23" s="1" t="str">
        <f>捏造NPC!A23</f>
        <v/>
      </c>
      <c r="B23" s="1" t="str">
        <f>IF($A23="","",捏造NPC!E23)</f>
        <v/>
      </c>
      <c r="C23" s="1" t="str">
        <f>IF($A23="","",捏造NPC!F23)</f>
        <v/>
      </c>
      <c r="D23" s="1" t="str">
        <f>IF($A23="","",捏造NPC!G23)</f>
        <v/>
      </c>
      <c r="E23" s="1" t="str">
        <f>IF($A23="","",捏造NPC!T23)</f>
        <v/>
      </c>
      <c r="F23" s="1" t="str">
        <f>IF($A23="","",IF(捏造NPC!P23="否",1,捏造NPC!U23))</f>
        <v/>
      </c>
      <c r="G23" s="1" t="str">
        <f>IF($A23="","",捏造NPC!W23)</f>
        <v/>
      </c>
      <c r="H23" s="1" t="str">
        <f>IF($A23="","",IF(捏造NPC!P23="否",-1,捏造NPC!X23))</f>
        <v/>
      </c>
      <c r="I23" s="1" t="str">
        <f>IF($A23="","",IF(捏造NPC!P23="否",-1,捏造NPC!Y23))</f>
        <v/>
      </c>
      <c r="J23" s="1" t="str">
        <f>IF($A23="","",IF(捏造NPC!P23="否",2500,捏造NPC!Z23))</f>
        <v/>
      </c>
      <c r="K23" s="1" t="str">
        <f t="shared" si="93"/>
        <v/>
      </c>
      <c r="L23" s="1" t="str">
        <f>IF(A23="","",捏造NPC!AB23)</f>
        <v/>
      </c>
      <c r="M23" s="1" t="str">
        <f>IF(捏造NPC!P23="否",0,IF(捏造NPC!P23="是",500,""))</f>
        <v/>
      </c>
      <c r="N23" s="1" t="str">
        <f>IF(捏造NPC!P23="否",0,IF(捏造NPC!P23="是",12,""))</f>
        <v/>
      </c>
      <c r="P23" s="1" t="str">
        <f t="shared" si="1"/>
        <v/>
      </c>
      <c r="Q23" s="1" t="str">
        <f t="shared" si="2"/>
        <v/>
      </c>
      <c r="R23" s="1" t="str">
        <f t="shared" si="91"/>
        <v/>
      </c>
      <c r="S23" s="1" t="str">
        <f t="shared" si="3"/>
        <v/>
      </c>
      <c r="T23" s="1" t="str">
        <f>IF(A23="","",捏造NPC!AE23)</f>
        <v/>
      </c>
      <c r="U23" s="1" t="str">
        <f t="shared" si="4"/>
        <v/>
      </c>
      <c r="V23" s="1" t="str">
        <f t="shared" si="5"/>
        <v/>
      </c>
      <c r="W23" s="1" t="str">
        <f t="shared" si="6"/>
        <v/>
      </c>
      <c r="X23" s="1" t="str">
        <f t="shared" si="7"/>
        <v/>
      </c>
      <c r="Y23" s="1" t="str">
        <f>IF($A23="","",IF(捏造NPC!R23="",-1,$A23))</f>
        <v/>
      </c>
      <c r="Z23" s="1" t="str">
        <f t="shared" si="8"/>
        <v/>
      </c>
      <c r="AA23" s="1" t="str">
        <f t="shared" si="9"/>
        <v/>
      </c>
      <c r="AB23" s="1" t="str">
        <f t="shared" si="10"/>
        <v/>
      </c>
      <c r="AC23" s="1" t="str">
        <f t="shared" si="11"/>
        <v/>
      </c>
      <c r="AD23" s="1" t="str">
        <f t="shared" si="12"/>
        <v/>
      </c>
      <c r="AE23" s="1" t="str">
        <f t="shared" si="13"/>
        <v/>
      </c>
      <c r="AF23" s="1" t="str">
        <f t="shared" si="14"/>
        <v/>
      </c>
      <c r="AG23" s="1" t="str">
        <f t="shared" si="15"/>
        <v/>
      </c>
      <c r="AH23" s="1" t="str">
        <f t="shared" si="16"/>
        <v/>
      </c>
      <c r="AI23" s="1" t="str">
        <f>IF($A23="","",捏造NPC!Q23)</f>
        <v/>
      </c>
      <c r="AJ23" s="1" t="str">
        <f t="shared" si="17"/>
        <v/>
      </c>
      <c r="AK23" s="1" t="str">
        <f t="shared" si="18"/>
        <v/>
      </c>
      <c r="AL23" s="1" t="str">
        <f t="shared" si="19"/>
        <v/>
      </c>
      <c r="AM23" s="1" t="str">
        <f t="shared" si="20"/>
        <v/>
      </c>
      <c r="AN23" s="1" t="str">
        <f t="shared" si="21"/>
        <v/>
      </c>
      <c r="AO23" s="1" t="str">
        <f t="shared" si="22"/>
        <v/>
      </c>
      <c r="AP23" s="1" t="str">
        <f t="shared" si="23"/>
        <v/>
      </c>
      <c r="AQ23" s="1" t="str">
        <f t="shared" si="24"/>
        <v/>
      </c>
      <c r="AR23" s="1" t="str">
        <f t="shared" si="25"/>
        <v/>
      </c>
      <c r="AS23" s="1" t="str">
        <f t="shared" si="26"/>
        <v/>
      </c>
      <c r="AT23" s="1" t="str">
        <f t="shared" si="27"/>
        <v/>
      </c>
      <c r="AU23" s="1" t="str">
        <f t="shared" si="28"/>
        <v/>
      </c>
      <c r="AV23" s="1" t="str">
        <f t="shared" si="29"/>
        <v/>
      </c>
      <c r="AW23" s="1" t="str">
        <f t="shared" si="30"/>
        <v/>
      </c>
      <c r="AX23" s="1" t="str">
        <f t="shared" si="31"/>
        <v/>
      </c>
      <c r="AY23" s="1" t="str">
        <f t="shared" si="32"/>
        <v/>
      </c>
      <c r="AZ23" s="1" t="str">
        <f t="shared" si="33"/>
        <v/>
      </c>
      <c r="BA23" s="1" t="str">
        <f t="shared" si="34"/>
        <v/>
      </c>
      <c r="BB23" s="1" t="str">
        <f t="shared" si="35"/>
        <v/>
      </c>
      <c r="BC23" s="1" t="str">
        <f t="shared" si="36"/>
        <v/>
      </c>
      <c r="BD23" s="1" t="str">
        <f t="shared" si="37"/>
        <v/>
      </c>
      <c r="BE23" s="1" t="str">
        <f t="shared" si="38"/>
        <v/>
      </c>
      <c r="BF23" s="1" t="str">
        <f t="shared" si="39"/>
        <v/>
      </c>
      <c r="BG23" s="1" t="str">
        <f t="shared" si="40"/>
        <v/>
      </c>
      <c r="BH23" s="1" t="str">
        <f t="shared" si="41"/>
        <v/>
      </c>
      <c r="BI23" s="1" t="str">
        <f t="shared" si="42"/>
        <v/>
      </c>
      <c r="BJ23" s="1" t="str">
        <f t="shared" si="43"/>
        <v/>
      </c>
      <c r="BK23" s="1" t="str">
        <f t="shared" si="44"/>
        <v/>
      </c>
      <c r="BL23" s="1" t="str">
        <f t="shared" si="45"/>
        <v/>
      </c>
      <c r="BM23" s="1" t="str">
        <f t="shared" si="46"/>
        <v/>
      </c>
      <c r="BN23" s="1" t="str">
        <f t="shared" si="47"/>
        <v/>
      </c>
      <c r="BO23" s="1" t="str">
        <f t="shared" si="92"/>
        <v/>
      </c>
      <c r="BP23" s="1" t="str">
        <f t="shared" si="48"/>
        <v/>
      </c>
      <c r="BQ23" s="1" t="str">
        <f t="shared" si="49"/>
        <v/>
      </c>
      <c r="BR23" s="1" t="str">
        <f t="shared" si="50"/>
        <v/>
      </c>
      <c r="BS23" s="1" t="str">
        <f t="shared" si="51"/>
        <v/>
      </c>
      <c r="BT23" s="1" t="str">
        <f t="shared" si="52"/>
        <v/>
      </c>
      <c r="BU23" s="1" t="str">
        <f t="shared" si="53"/>
        <v/>
      </c>
      <c r="BV23" s="1" t="str">
        <f t="shared" si="54"/>
        <v/>
      </c>
      <c r="BW23" s="1" t="str">
        <f t="shared" si="55"/>
        <v/>
      </c>
      <c r="BX23" s="1" t="str">
        <f t="shared" si="56"/>
        <v/>
      </c>
      <c r="BY23" s="1" t="str">
        <f t="shared" si="57"/>
        <v/>
      </c>
      <c r="BZ23" s="1" t="str">
        <f t="shared" si="58"/>
        <v/>
      </c>
      <c r="CA23" s="1" t="str">
        <f t="shared" si="59"/>
        <v/>
      </c>
      <c r="CB23" s="1" t="str">
        <f t="shared" si="60"/>
        <v/>
      </c>
      <c r="CC23" s="1" t="str">
        <f t="shared" si="61"/>
        <v/>
      </c>
      <c r="CD23" s="1" t="str">
        <f t="shared" si="62"/>
        <v/>
      </c>
      <c r="CE23" s="1" t="str">
        <f t="shared" si="63"/>
        <v/>
      </c>
      <c r="CF23" s="1" t="str">
        <f t="shared" si="64"/>
        <v/>
      </c>
      <c r="CG23" s="1" t="str">
        <f t="shared" si="65"/>
        <v/>
      </c>
      <c r="CH23" s="1" t="str">
        <f t="shared" si="66"/>
        <v/>
      </c>
      <c r="CI23" s="1" t="str">
        <f t="shared" si="67"/>
        <v/>
      </c>
      <c r="CJ23" s="1" t="str">
        <f>IF($A23="","",IF(捏造NPC!P23="否",-1,捏造NPC!AC23))</f>
        <v/>
      </c>
      <c r="CK23" s="1" t="str">
        <f t="shared" si="68"/>
        <v/>
      </c>
      <c r="CL23" s="1" t="str">
        <f t="shared" si="69"/>
        <v/>
      </c>
      <c r="CM23" s="1" t="str">
        <f t="shared" si="70"/>
        <v/>
      </c>
      <c r="CN23" s="1" t="str">
        <f t="shared" si="71"/>
        <v/>
      </c>
      <c r="CO23" s="1" t="str">
        <f t="shared" si="72"/>
        <v/>
      </c>
      <c r="CP23" s="1" t="str">
        <f t="shared" si="73"/>
        <v/>
      </c>
      <c r="CQ23" s="1" t="str">
        <f t="shared" si="74"/>
        <v/>
      </c>
      <c r="CR23" s="1" t="str">
        <f t="shared" si="75"/>
        <v/>
      </c>
      <c r="CS23" s="1" t="str">
        <f t="shared" si="76"/>
        <v/>
      </c>
      <c r="CT23" s="1" t="str">
        <f t="shared" si="77"/>
        <v/>
      </c>
      <c r="CU23" s="1" t="str">
        <f t="shared" si="78"/>
        <v/>
      </c>
      <c r="CV23" s="1" t="str">
        <f t="shared" si="79"/>
        <v/>
      </c>
      <c r="CW23" s="1" t="str">
        <f t="shared" si="80"/>
        <v/>
      </c>
      <c r="CX23" s="1" t="str">
        <f t="shared" si="81"/>
        <v/>
      </c>
      <c r="CY23" s="1" t="str">
        <f t="shared" si="82"/>
        <v/>
      </c>
      <c r="CZ23" s="1" t="str">
        <f t="shared" si="83"/>
        <v/>
      </c>
      <c r="DA23" s="1" t="str">
        <f t="shared" si="84"/>
        <v/>
      </c>
      <c r="DB23" s="1" t="str">
        <f t="shared" si="85"/>
        <v/>
      </c>
      <c r="DC23" s="1" t="str">
        <f t="shared" si="86"/>
        <v/>
      </c>
      <c r="DD23" s="1" t="str">
        <f t="shared" si="87"/>
        <v/>
      </c>
      <c r="DE23" s="1" t="str">
        <f t="shared" si="88"/>
        <v/>
      </c>
      <c r="DF23" s="1" t="str">
        <f t="shared" si="89"/>
        <v/>
      </c>
      <c r="DG23" s="1" t="str">
        <f t="shared" si="90"/>
        <v/>
      </c>
    </row>
    <row r="24" spans="1:111">
      <c r="A24" s="1" t="str">
        <f>捏造NPC!A24</f>
        <v/>
      </c>
      <c r="B24" s="1" t="str">
        <f>IF($A24="","",捏造NPC!E24)</f>
        <v/>
      </c>
      <c r="C24" s="1" t="str">
        <f>IF($A24="","",捏造NPC!F24)</f>
        <v/>
      </c>
      <c r="D24" s="1" t="str">
        <f>IF($A24="","",捏造NPC!G24)</f>
        <v/>
      </c>
      <c r="E24" s="1" t="str">
        <f>IF($A24="","",捏造NPC!T24)</f>
        <v/>
      </c>
      <c r="F24" s="1" t="str">
        <f>IF($A24="","",IF(捏造NPC!P24="否",1,捏造NPC!U24))</f>
        <v/>
      </c>
      <c r="G24" s="1" t="str">
        <f>IF($A24="","",捏造NPC!W24)</f>
        <v/>
      </c>
      <c r="H24" s="1" t="str">
        <f>IF($A24="","",IF(捏造NPC!P24="否",-1,捏造NPC!X24))</f>
        <v/>
      </c>
      <c r="I24" s="1" t="str">
        <f>IF($A24="","",IF(捏造NPC!P24="否",-1,捏造NPC!Y24))</f>
        <v/>
      </c>
      <c r="J24" s="1" t="str">
        <f>IF($A24="","",IF(捏造NPC!P24="否",2500,捏造NPC!Z24))</f>
        <v/>
      </c>
      <c r="K24" s="1" t="str">
        <f t="shared" si="93"/>
        <v/>
      </c>
      <c r="L24" s="1" t="str">
        <f>IF(A24="","",捏造NPC!AB24)</f>
        <v/>
      </c>
      <c r="M24" s="1" t="str">
        <f>IF(捏造NPC!P24="否",0,IF(捏造NPC!P24="是",500,""))</f>
        <v/>
      </c>
      <c r="N24" s="1" t="str">
        <f>IF(捏造NPC!P24="否",0,IF(捏造NPC!P24="是",12,""))</f>
        <v/>
      </c>
      <c r="P24" s="1" t="str">
        <f t="shared" si="1"/>
        <v/>
      </c>
      <c r="Q24" s="1" t="str">
        <f t="shared" si="2"/>
        <v/>
      </c>
      <c r="R24" s="1" t="str">
        <f t="shared" si="91"/>
        <v/>
      </c>
      <c r="S24" s="1" t="str">
        <f t="shared" si="3"/>
        <v/>
      </c>
      <c r="T24" s="1" t="str">
        <f>IF(A24="","",捏造NPC!AE24)</f>
        <v/>
      </c>
      <c r="U24" s="1" t="str">
        <f t="shared" si="4"/>
        <v/>
      </c>
      <c r="V24" s="1" t="str">
        <f t="shared" si="5"/>
        <v/>
      </c>
      <c r="W24" s="1" t="str">
        <f t="shared" si="6"/>
        <v/>
      </c>
      <c r="X24" s="1" t="str">
        <f t="shared" si="7"/>
        <v/>
      </c>
      <c r="Y24" s="1" t="str">
        <f>IF($A24="","",IF(捏造NPC!R24="",-1,$A24))</f>
        <v/>
      </c>
      <c r="Z24" s="1" t="str">
        <f t="shared" si="8"/>
        <v/>
      </c>
      <c r="AA24" s="1" t="str">
        <f t="shared" si="9"/>
        <v/>
      </c>
      <c r="AB24" s="1" t="str">
        <f t="shared" si="10"/>
        <v/>
      </c>
      <c r="AC24" s="1" t="str">
        <f t="shared" si="11"/>
        <v/>
      </c>
      <c r="AD24" s="1" t="str">
        <f t="shared" si="12"/>
        <v/>
      </c>
      <c r="AE24" s="1" t="str">
        <f t="shared" si="13"/>
        <v/>
      </c>
      <c r="AF24" s="1" t="str">
        <f t="shared" si="14"/>
        <v/>
      </c>
      <c r="AG24" s="1" t="str">
        <f t="shared" si="15"/>
        <v/>
      </c>
      <c r="AI24" s="1" t="str">
        <f>IF($A24="","",捏造NPC!Q24)</f>
        <v/>
      </c>
      <c r="AJ24" s="1" t="str">
        <f t="shared" si="17"/>
        <v/>
      </c>
      <c r="AK24" s="1" t="str">
        <f t="shared" si="18"/>
        <v/>
      </c>
      <c r="AL24" s="1" t="str">
        <f t="shared" si="19"/>
        <v/>
      </c>
      <c r="AM24" s="1" t="str">
        <f t="shared" si="20"/>
        <v/>
      </c>
      <c r="AN24" s="1" t="str">
        <f t="shared" si="21"/>
        <v/>
      </c>
      <c r="AO24" s="1" t="str">
        <f t="shared" si="22"/>
        <v/>
      </c>
      <c r="AP24" s="1" t="str">
        <f t="shared" si="23"/>
        <v/>
      </c>
      <c r="AQ24" s="1" t="str">
        <f t="shared" si="24"/>
        <v/>
      </c>
      <c r="AR24" s="1" t="str">
        <f t="shared" si="25"/>
        <v/>
      </c>
      <c r="AS24" s="1" t="str">
        <f t="shared" si="26"/>
        <v/>
      </c>
      <c r="AT24" s="1" t="str">
        <f t="shared" si="27"/>
        <v/>
      </c>
      <c r="AU24" s="1" t="str">
        <f t="shared" si="28"/>
        <v/>
      </c>
      <c r="AV24" s="1" t="str">
        <f t="shared" si="29"/>
        <v/>
      </c>
      <c r="AW24" s="1" t="str">
        <f t="shared" si="30"/>
        <v/>
      </c>
      <c r="AX24" s="1" t="str">
        <f t="shared" si="31"/>
        <v/>
      </c>
      <c r="AY24" s="1" t="str">
        <f t="shared" si="32"/>
        <v/>
      </c>
      <c r="AZ24" s="1" t="str">
        <f t="shared" si="33"/>
        <v/>
      </c>
      <c r="BA24" s="1" t="str">
        <f t="shared" si="34"/>
        <v/>
      </c>
      <c r="BB24" s="1" t="str">
        <f t="shared" si="35"/>
        <v/>
      </c>
      <c r="BC24" s="1" t="str">
        <f t="shared" si="36"/>
        <v/>
      </c>
      <c r="BD24" s="1" t="str">
        <f t="shared" si="37"/>
        <v/>
      </c>
      <c r="BE24" s="1" t="str">
        <f t="shared" si="38"/>
        <v/>
      </c>
      <c r="BF24" s="1" t="str">
        <f t="shared" si="39"/>
        <v/>
      </c>
      <c r="BG24" s="1" t="str">
        <f t="shared" si="40"/>
        <v/>
      </c>
      <c r="BH24" s="1" t="str">
        <f t="shared" si="41"/>
        <v/>
      </c>
      <c r="BI24" s="1" t="str">
        <f t="shared" si="42"/>
        <v/>
      </c>
      <c r="BJ24" s="1" t="str">
        <f t="shared" si="43"/>
        <v/>
      </c>
      <c r="BK24" s="1" t="str">
        <f t="shared" si="44"/>
        <v/>
      </c>
      <c r="BL24" s="1" t="str">
        <f t="shared" si="45"/>
        <v/>
      </c>
      <c r="BM24" s="1" t="str">
        <f t="shared" si="46"/>
        <v/>
      </c>
      <c r="BN24" s="1" t="str">
        <f t="shared" si="47"/>
        <v/>
      </c>
      <c r="BO24" s="1" t="str">
        <f t="shared" si="92"/>
        <v/>
      </c>
      <c r="BP24" s="1" t="str">
        <f t="shared" si="48"/>
        <v/>
      </c>
      <c r="BQ24" s="1" t="str">
        <f t="shared" si="49"/>
        <v/>
      </c>
      <c r="BR24" s="1" t="str">
        <f t="shared" si="50"/>
        <v/>
      </c>
      <c r="BS24" s="1" t="str">
        <f t="shared" si="51"/>
        <v/>
      </c>
      <c r="BT24" s="1" t="str">
        <f t="shared" si="52"/>
        <v/>
      </c>
      <c r="BU24" s="1" t="str">
        <f t="shared" si="53"/>
        <v/>
      </c>
      <c r="BV24" s="1" t="str">
        <f t="shared" si="54"/>
        <v/>
      </c>
      <c r="BW24" s="1" t="str">
        <f t="shared" si="55"/>
        <v/>
      </c>
      <c r="BX24" s="1" t="str">
        <f t="shared" si="56"/>
        <v/>
      </c>
      <c r="BY24" s="1" t="str">
        <f t="shared" si="57"/>
        <v/>
      </c>
      <c r="BZ24" s="1" t="str">
        <f t="shared" si="58"/>
        <v/>
      </c>
      <c r="CA24" s="1" t="str">
        <f t="shared" si="59"/>
        <v/>
      </c>
      <c r="CB24" s="1" t="str">
        <f t="shared" si="60"/>
        <v/>
      </c>
      <c r="CC24" s="1" t="str">
        <f t="shared" si="61"/>
        <v/>
      </c>
      <c r="CD24" s="1" t="str">
        <f t="shared" si="62"/>
        <v/>
      </c>
      <c r="CE24" s="1" t="str">
        <f t="shared" si="63"/>
        <v/>
      </c>
      <c r="CF24" s="1" t="str">
        <f t="shared" si="64"/>
        <v/>
      </c>
      <c r="CG24" s="1" t="str">
        <f t="shared" si="65"/>
        <v/>
      </c>
      <c r="CH24" s="1" t="str">
        <f t="shared" si="66"/>
        <v/>
      </c>
      <c r="CI24" s="1" t="str">
        <f t="shared" si="67"/>
        <v/>
      </c>
      <c r="CJ24" s="1" t="str">
        <f>IF($A24="","",IF(捏造NPC!P24="否",-1,捏造NPC!AC24))</f>
        <v/>
      </c>
      <c r="CK24" s="1" t="str">
        <f t="shared" si="68"/>
        <v/>
      </c>
      <c r="CL24" s="1" t="str">
        <f t="shared" si="69"/>
        <v/>
      </c>
      <c r="CM24" s="1" t="str">
        <f t="shared" si="70"/>
        <v/>
      </c>
      <c r="CN24" s="1" t="str">
        <f t="shared" si="71"/>
        <v/>
      </c>
      <c r="CO24" s="1" t="str">
        <f t="shared" si="72"/>
        <v/>
      </c>
      <c r="CP24" s="1" t="str">
        <f t="shared" si="73"/>
        <v/>
      </c>
      <c r="CQ24" s="1" t="str">
        <f t="shared" si="74"/>
        <v/>
      </c>
      <c r="CR24" s="1" t="str">
        <f t="shared" si="75"/>
        <v/>
      </c>
      <c r="CS24" s="1" t="str">
        <f t="shared" si="76"/>
        <v/>
      </c>
      <c r="CT24" s="1" t="str">
        <f t="shared" si="77"/>
        <v/>
      </c>
      <c r="CU24" s="1" t="str">
        <f t="shared" si="78"/>
        <v/>
      </c>
      <c r="CV24" s="1" t="str">
        <f t="shared" si="79"/>
        <v/>
      </c>
      <c r="CW24" s="1" t="str">
        <f t="shared" si="80"/>
        <v/>
      </c>
      <c r="CX24" s="1" t="str">
        <f t="shared" si="81"/>
        <v/>
      </c>
      <c r="CY24" s="1" t="str">
        <f t="shared" si="82"/>
        <v/>
      </c>
      <c r="CZ24" s="1" t="str">
        <f t="shared" si="83"/>
        <v/>
      </c>
      <c r="DA24" s="1" t="str">
        <f t="shared" si="84"/>
        <v/>
      </c>
      <c r="DB24" s="1" t="str">
        <f t="shared" si="85"/>
        <v/>
      </c>
      <c r="DC24" s="1" t="str">
        <f t="shared" si="86"/>
        <v/>
      </c>
      <c r="DD24" s="1" t="str">
        <f t="shared" si="87"/>
        <v/>
      </c>
      <c r="DE24" s="1" t="str">
        <f t="shared" si="88"/>
        <v/>
      </c>
      <c r="DF24" s="1" t="str">
        <f t="shared" si="89"/>
        <v/>
      </c>
      <c r="DG24" s="1" t="str">
        <f t="shared" si="90"/>
        <v/>
      </c>
    </row>
    <row r="25" s="3" customFormat="1"/>
  </sheetData>
  <pageMargins left="0.75" right="0.75" top="1" bottom="1" header="0.5" footer="0.5"/>
  <headerFooter/>
  <ignoredErrors>
    <ignoredError sqref="AM5:AM24 AG5:AG23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24"/>
  <sheetViews>
    <sheetView workbookViewId="0">
      <selection activeCell="A6" sqref="A6"/>
    </sheetView>
  </sheetViews>
  <sheetFormatPr defaultColWidth="9" defaultRowHeight="13.5"/>
  <cols>
    <col min="2" max="2" width="18" customWidth="1"/>
  </cols>
  <sheetData>
    <row r="1" spans="1:17">
      <c r="A1" s="1" t="s">
        <v>123</v>
      </c>
      <c r="B1" s="1" t="s">
        <v>124</v>
      </c>
      <c r="C1" s="1" t="s">
        <v>328</v>
      </c>
      <c r="D1" s="1" t="s">
        <v>1045</v>
      </c>
      <c r="E1" s="1" t="s">
        <v>1046</v>
      </c>
      <c r="F1" s="1" t="s">
        <v>1047</v>
      </c>
      <c r="G1" s="1" t="s">
        <v>1048</v>
      </c>
      <c r="H1" s="1" t="s">
        <v>1049</v>
      </c>
      <c r="I1" s="1" t="s">
        <v>1050</v>
      </c>
      <c r="J1" s="1" t="s">
        <v>1051</v>
      </c>
      <c r="K1" s="1" t="s">
        <v>1052</v>
      </c>
      <c r="L1" s="1" t="s">
        <v>1053</v>
      </c>
      <c r="M1" s="1" t="s">
        <v>1054</v>
      </c>
      <c r="N1" s="1" t="s">
        <v>1055</v>
      </c>
      <c r="O1" s="1" t="s">
        <v>1056</v>
      </c>
      <c r="P1" s="1" t="s">
        <v>1057</v>
      </c>
      <c r="Q1" s="1" t="s">
        <v>1058</v>
      </c>
    </row>
    <row r="2" spans="1:17">
      <c r="A2" s="1" t="s">
        <v>153</v>
      </c>
      <c r="B2" s="1" t="s">
        <v>154</v>
      </c>
      <c r="C2" s="1" t="s">
        <v>153</v>
      </c>
      <c r="D2" s="1" t="s">
        <v>153</v>
      </c>
      <c r="E2" s="1" t="s">
        <v>153</v>
      </c>
      <c r="F2" s="1" t="s">
        <v>153</v>
      </c>
      <c r="G2" s="1" t="s">
        <v>153</v>
      </c>
      <c r="H2" s="1" t="s">
        <v>153</v>
      </c>
      <c r="I2" s="1" t="s">
        <v>154</v>
      </c>
      <c r="J2" s="1" t="s">
        <v>153</v>
      </c>
      <c r="K2" s="1" t="s">
        <v>153</v>
      </c>
      <c r="L2" s="1" t="s">
        <v>153</v>
      </c>
      <c r="M2" s="1" t="s">
        <v>153</v>
      </c>
      <c r="N2" s="1" t="s">
        <v>155</v>
      </c>
      <c r="O2" s="1" t="s">
        <v>155</v>
      </c>
      <c r="P2" s="1" t="s">
        <v>155</v>
      </c>
      <c r="Q2" s="1" t="s">
        <v>153</v>
      </c>
    </row>
    <row r="3" spans="1:17">
      <c r="A3" s="1" t="s">
        <v>156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>
      <c r="A4" s="1" t="s">
        <v>157</v>
      </c>
      <c r="B4" s="1" t="s">
        <v>158</v>
      </c>
      <c r="C4" s="1" t="s">
        <v>6</v>
      </c>
      <c r="D4" s="1" t="s">
        <v>51</v>
      </c>
      <c r="E4" s="1" t="s">
        <v>1059</v>
      </c>
      <c r="F4" s="1" t="s">
        <v>1060</v>
      </c>
      <c r="G4" s="1" t="s">
        <v>1061</v>
      </c>
      <c r="H4" s="1" t="s">
        <v>1062</v>
      </c>
      <c r="I4" s="1" t="s">
        <v>1062</v>
      </c>
      <c r="J4" s="1" t="s">
        <v>1063</v>
      </c>
      <c r="K4" s="1" t="s">
        <v>1064</v>
      </c>
      <c r="L4" s="1" t="s">
        <v>1065</v>
      </c>
      <c r="M4" s="1" t="s">
        <v>1066</v>
      </c>
      <c r="N4" s="1" t="s">
        <v>1067</v>
      </c>
      <c r="O4" s="1" t="s">
        <v>1068</v>
      </c>
      <c r="P4" s="1" t="s">
        <v>1069</v>
      </c>
      <c r="Q4" s="1" t="s">
        <v>1070</v>
      </c>
    </row>
    <row r="5" spans="1:17">
      <c r="A5">
        <v>350</v>
      </c>
      <c r="B5" t="str">
        <f>IF($A5="","",VLOOKUP($A5,发布任务!$A:$AB,5,0))</f>
        <v>资13-军衔任务</v>
      </c>
      <c r="C5">
        <f>IF($A5="","",VLOOKUP($A5,发布任务!$A:$AB,6,0))</f>
        <v>8124</v>
      </c>
      <c r="D5">
        <f t="shared" ref="D5:D10" si="0">IF($A5="","",A5)</f>
        <v>350</v>
      </c>
      <c r="E5">
        <f>IF($A5="","",VLOOKUP($A5,发布任务!$A:$AB,4,0))</f>
        <v>0</v>
      </c>
      <c r="F5" s="1">
        <f>IF($A5="","",-1)</f>
        <v>-1</v>
      </c>
      <c r="G5" s="1">
        <f>IF($A5="","",-1)</f>
        <v>-1</v>
      </c>
      <c r="J5" s="1">
        <f>IF($A5="","",1)</f>
        <v>1</v>
      </c>
      <c r="K5" s="1">
        <f>IF($A5="","",1)</f>
        <v>1</v>
      </c>
      <c r="L5" s="1">
        <f>IF($A5="","",0)</f>
        <v>0</v>
      </c>
      <c r="M5" s="1">
        <f>IF($A5="","",-1)</f>
        <v>-1</v>
      </c>
      <c r="N5" s="1">
        <f>IF($A5="","",-1)</f>
        <v>-1</v>
      </c>
      <c r="O5" s="1">
        <f>IF($A5="","",-1)</f>
        <v>-1</v>
      </c>
      <c r="P5" s="1">
        <f>IF($A5="","",-1)</f>
        <v>-1</v>
      </c>
      <c r="Q5" s="1">
        <f>IF($A5="","",-1)</f>
        <v>-1</v>
      </c>
    </row>
    <row r="6" spans="1:17">
      <c r="A6">
        <v>351</v>
      </c>
      <c r="B6" t="str">
        <f>IF($A6="","",VLOOKUP($A6,发布任务!$A:$AB,5,0))</f>
        <v>资14-军衔任务</v>
      </c>
      <c r="C6">
        <f>IF($A6="","",VLOOKUP($A6,发布任务!$A:$AB,6,0))</f>
        <v>8125</v>
      </c>
      <c r="D6">
        <f t="shared" si="0"/>
        <v>351</v>
      </c>
      <c r="E6">
        <f>IF($A6="","",VLOOKUP($A6,发布任务!$A:$AB,4,0))</f>
        <v>0</v>
      </c>
      <c r="F6" s="1">
        <f t="shared" ref="F6:F24" si="1">IF($A6="","",-1)</f>
        <v>-1</v>
      </c>
      <c r="G6" s="1">
        <f t="shared" ref="G6:G24" si="2">IF($A6="","",-1)</f>
        <v>-1</v>
      </c>
      <c r="J6" s="1">
        <f t="shared" ref="J6:J24" si="3">IF($A6="","",1)</f>
        <v>1</v>
      </c>
      <c r="K6" s="1">
        <f t="shared" ref="K6:K24" si="4">IF($A6="","",1)</f>
        <v>1</v>
      </c>
      <c r="L6" s="1">
        <f t="shared" ref="L6:L24" si="5">IF($A6="","",0)</f>
        <v>0</v>
      </c>
      <c r="M6" s="1">
        <f t="shared" ref="M6:M24" si="6">IF($A6="","",-1)</f>
        <v>-1</v>
      </c>
      <c r="N6" s="1">
        <f t="shared" ref="N6:N24" si="7">IF($A6="","",-1)</f>
        <v>-1</v>
      </c>
      <c r="O6" s="1">
        <f t="shared" ref="O6:O24" si="8">IF($A6="","",-1)</f>
        <v>-1</v>
      </c>
      <c r="P6" s="1">
        <f t="shared" ref="P6:P24" si="9">IF($A6="","",-1)</f>
        <v>-1</v>
      </c>
      <c r="Q6" s="1">
        <f t="shared" ref="Q6:Q24" si="10">IF($A6="","",-1)</f>
        <v>-1</v>
      </c>
    </row>
    <row r="7" spans="2:17">
      <c r="B7" t="str">
        <f>IF($A7="","",VLOOKUP($A7,发布任务!$A:$AB,5,0))</f>
        <v/>
      </c>
      <c r="C7" t="str">
        <f>IF($A7="","",VLOOKUP($A7,发布任务!$A:$AB,6,0))</f>
        <v/>
      </c>
      <c r="D7" t="str">
        <f t="shared" si="0"/>
        <v/>
      </c>
      <c r="E7" t="str">
        <f>IF($A7="","",VLOOKUP($A7,发布任务!$A:$AB,4,0))</f>
        <v/>
      </c>
      <c r="F7" s="1" t="str">
        <f t="shared" si="1"/>
        <v/>
      </c>
      <c r="G7" s="1" t="str">
        <f t="shared" si="2"/>
        <v/>
      </c>
      <c r="J7" s="1" t="str">
        <f t="shared" si="3"/>
        <v/>
      </c>
      <c r="K7" s="1" t="str">
        <f t="shared" si="4"/>
        <v/>
      </c>
      <c r="L7" s="1" t="str">
        <f t="shared" si="5"/>
        <v/>
      </c>
      <c r="M7" s="1" t="str">
        <f t="shared" si="6"/>
        <v/>
      </c>
      <c r="N7" s="1" t="str">
        <f t="shared" si="7"/>
        <v/>
      </c>
      <c r="O7" s="1" t="str">
        <f t="shared" si="8"/>
        <v/>
      </c>
      <c r="P7" s="1" t="str">
        <f t="shared" si="9"/>
        <v/>
      </c>
      <c r="Q7" s="1" t="str">
        <f t="shared" si="10"/>
        <v/>
      </c>
    </row>
    <row r="8" spans="2:17">
      <c r="B8" t="str">
        <f>IF($A8="","",VLOOKUP($A8,发布任务!$A:$AB,5,0))</f>
        <v/>
      </c>
      <c r="C8" t="str">
        <f>IF($A8="","",VLOOKUP($A8,发布任务!$A:$AB,6,0))</f>
        <v/>
      </c>
      <c r="D8" t="str">
        <f t="shared" si="0"/>
        <v/>
      </c>
      <c r="E8" t="str">
        <f>IF($A8="","",VLOOKUP($A8,发布任务!$A:$AB,4,0))</f>
        <v/>
      </c>
      <c r="F8" s="1" t="str">
        <f t="shared" si="1"/>
        <v/>
      </c>
      <c r="G8" s="1" t="str">
        <f t="shared" si="2"/>
        <v/>
      </c>
      <c r="J8" s="1" t="str">
        <f t="shared" si="3"/>
        <v/>
      </c>
      <c r="K8" s="1" t="str">
        <f t="shared" si="4"/>
        <v/>
      </c>
      <c r="L8" s="1" t="str">
        <f t="shared" si="5"/>
        <v/>
      </c>
      <c r="M8" s="1" t="str">
        <f t="shared" si="6"/>
        <v/>
      </c>
      <c r="N8" s="1" t="str">
        <f t="shared" si="7"/>
        <v/>
      </c>
      <c r="O8" s="1" t="str">
        <f t="shared" si="8"/>
        <v/>
      </c>
      <c r="P8" s="1" t="str">
        <f t="shared" si="9"/>
        <v/>
      </c>
      <c r="Q8" s="1" t="str">
        <f t="shared" si="10"/>
        <v/>
      </c>
    </row>
    <row r="9" spans="2:17">
      <c r="B9" t="str">
        <f>IF($A9="","",VLOOKUP($A9,发布任务!$A:$AB,5,0))</f>
        <v/>
      </c>
      <c r="C9" t="str">
        <f>IF($A9="","",VLOOKUP($A9,发布任务!$A:$AB,6,0))</f>
        <v/>
      </c>
      <c r="D9" t="str">
        <f t="shared" si="0"/>
        <v/>
      </c>
      <c r="E9" t="str">
        <f>IF($A9="","",VLOOKUP($A9,发布任务!$A:$AB,4,0))</f>
        <v/>
      </c>
      <c r="F9" s="1" t="str">
        <f t="shared" si="1"/>
        <v/>
      </c>
      <c r="G9" s="1" t="str">
        <f t="shared" si="2"/>
        <v/>
      </c>
      <c r="J9" s="1" t="str">
        <f t="shared" si="3"/>
        <v/>
      </c>
      <c r="K9" s="1" t="str">
        <f t="shared" si="4"/>
        <v/>
      </c>
      <c r="L9" s="1" t="str">
        <f t="shared" si="5"/>
        <v/>
      </c>
      <c r="M9" s="1" t="str">
        <f t="shared" si="6"/>
        <v/>
      </c>
      <c r="N9" s="1" t="str">
        <f t="shared" si="7"/>
        <v/>
      </c>
      <c r="O9" s="1" t="str">
        <f t="shared" si="8"/>
        <v/>
      </c>
      <c r="P9" s="1" t="str">
        <f t="shared" si="9"/>
        <v/>
      </c>
      <c r="Q9" s="1" t="str">
        <f t="shared" si="10"/>
        <v/>
      </c>
    </row>
    <row r="10" spans="2:17">
      <c r="B10" t="str">
        <f>IF($A10="","",VLOOKUP($A10,发布任务!$A:$AB,5,0))</f>
        <v/>
      </c>
      <c r="C10" t="str">
        <f>IF($A10="","",VLOOKUP($A10,发布任务!$A:$AB,6,0))</f>
        <v/>
      </c>
      <c r="D10" t="str">
        <f t="shared" si="0"/>
        <v/>
      </c>
      <c r="E10" t="str">
        <f>IF($A10="","",VLOOKUP($A10,发布任务!$A:$AB,4,0))</f>
        <v/>
      </c>
      <c r="F10" s="1" t="str">
        <f t="shared" si="1"/>
        <v/>
      </c>
      <c r="G10" s="1" t="str">
        <f t="shared" si="2"/>
        <v/>
      </c>
      <c r="J10" s="1" t="str">
        <f t="shared" si="3"/>
        <v/>
      </c>
      <c r="K10" s="1" t="str">
        <f t="shared" si="4"/>
        <v/>
      </c>
      <c r="L10" s="1" t="str">
        <f t="shared" si="5"/>
        <v/>
      </c>
      <c r="M10" s="1" t="str">
        <f t="shared" si="6"/>
        <v/>
      </c>
      <c r="N10" s="1" t="str">
        <f t="shared" si="7"/>
        <v/>
      </c>
      <c r="O10" s="1" t="str">
        <f t="shared" si="8"/>
        <v/>
      </c>
      <c r="P10" s="1" t="str">
        <f t="shared" si="9"/>
        <v/>
      </c>
      <c r="Q10" s="1" t="str">
        <f t="shared" si="10"/>
        <v/>
      </c>
    </row>
    <row r="11" spans="2:17">
      <c r="B11" t="str">
        <f>IF($A11="","",VLOOKUP($A11,发布任务!$A:$AB,5,0))</f>
        <v/>
      </c>
      <c r="C11" t="str">
        <f>IF($A11="","",VLOOKUP($A11,发布任务!$A:$AB,6,0))</f>
        <v/>
      </c>
      <c r="D11" t="str">
        <f t="shared" ref="D11:D24" si="11">IF($A11="","",A11)</f>
        <v/>
      </c>
      <c r="E11" t="str">
        <f>IF($A11="","",VLOOKUP($A11,发布任务!$A:$AB,4,0))</f>
        <v/>
      </c>
      <c r="F11" s="1" t="str">
        <f t="shared" si="1"/>
        <v/>
      </c>
      <c r="G11" s="1" t="str">
        <f t="shared" si="2"/>
        <v/>
      </c>
      <c r="J11" s="1" t="str">
        <f t="shared" si="3"/>
        <v/>
      </c>
      <c r="K11" s="1" t="str">
        <f t="shared" si="4"/>
        <v/>
      </c>
      <c r="L11" s="1" t="str">
        <f t="shared" si="5"/>
        <v/>
      </c>
      <c r="M11" s="1" t="str">
        <f t="shared" si="6"/>
        <v/>
      </c>
      <c r="N11" s="1" t="str">
        <f t="shared" si="7"/>
        <v/>
      </c>
      <c r="O11" s="1" t="str">
        <f t="shared" si="8"/>
        <v/>
      </c>
      <c r="P11" s="1" t="str">
        <f t="shared" si="9"/>
        <v/>
      </c>
      <c r="Q11" s="1" t="str">
        <f t="shared" si="10"/>
        <v/>
      </c>
    </row>
    <row r="12" spans="2:17">
      <c r="B12" t="str">
        <f>IF($A12="","",VLOOKUP($A12,发布任务!$A:$AB,5,0))</f>
        <v/>
      </c>
      <c r="C12" t="str">
        <f>IF($A12="","",VLOOKUP($A12,发布任务!$A:$AB,6,0))</f>
        <v/>
      </c>
      <c r="D12" t="str">
        <f t="shared" si="11"/>
        <v/>
      </c>
      <c r="E12" t="str">
        <f>IF($A12="","",VLOOKUP($A12,发布任务!$A:$AB,4,0))</f>
        <v/>
      </c>
      <c r="F12" s="1" t="str">
        <f t="shared" si="1"/>
        <v/>
      </c>
      <c r="G12" s="1" t="str">
        <f t="shared" si="2"/>
        <v/>
      </c>
      <c r="J12" s="1" t="str">
        <f t="shared" si="3"/>
        <v/>
      </c>
      <c r="K12" s="1" t="str">
        <f t="shared" si="4"/>
        <v/>
      </c>
      <c r="L12" s="1" t="str">
        <f t="shared" si="5"/>
        <v/>
      </c>
      <c r="M12" s="1" t="str">
        <f t="shared" si="6"/>
        <v/>
      </c>
      <c r="N12" s="1" t="str">
        <f t="shared" si="7"/>
        <v/>
      </c>
      <c r="O12" s="1" t="str">
        <f t="shared" si="8"/>
        <v/>
      </c>
      <c r="P12" s="1" t="str">
        <f t="shared" si="9"/>
        <v/>
      </c>
      <c r="Q12" s="1" t="str">
        <f t="shared" si="10"/>
        <v/>
      </c>
    </row>
    <row r="13" spans="2:17">
      <c r="B13" t="str">
        <f>IF($A13="","",VLOOKUP($A13,发布任务!$A:$AB,5,0))</f>
        <v/>
      </c>
      <c r="C13" t="str">
        <f>IF($A13="","",VLOOKUP($A13,发布任务!$A:$AB,6,0))</f>
        <v/>
      </c>
      <c r="D13" t="str">
        <f t="shared" si="11"/>
        <v/>
      </c>
      <c r="E13" t="str">
        <f>IF($A13="","",VLOOKUP($A13,发布任务!$A:$AB,4,0))</f>
        <v/>
      </c>
      <c r="F13" s="1" t="str">
        <f t="shared" si="1"/>
        <v/>
      </c>
      <c r="G13" s="1" t="str">
        <f t="shared" si="2"/>
        <v/>
      </c>
      <c r="J13" s="1" t="str">
        <f t="shared" si="3"/>
        <v/>
      </c>
      <c r="K13" s="1" t="str">
        <f t="shared" si="4"/>
        <v/>
      </c>
      <c r="L13" s="1" t="str">
        <f t="shared" si="5"/>
        <v/>
      </c>
      <c r="M13" s="1" t="str">
        <f t="shared" si="6"/>
        <v/>
      </c>
      <c r="N13" s="1" t="str">
        <f t="shared" si="7"/>
        <v/>
      </c>
      <c r="O13" s="1" t="str">
        <f t="shared" si="8"/>
        <v/>
      </c>
      <c r="P13" s="1" t="str">
        <f t="shared" si="9"/>
        <v/>
      </c>
      <c r="Q13" s="1" t="str">
        <f t="shared" si="10"/>
        <v/>
      </c>
    </row>
    <row r="14" spans="2:17">
      <c r="B14" t="str">
        <f>IF($A14="","",VLOOKUP($A14,发布任务!$A:$AB,5,0))</f>
        <v/>
      </c>
      <c r="C14" t="str">
        <f>IF($A14="","",VLOOKUP($A14,发布任务!$A:$AB,6,0))</f>
        <v/>
      </c>
      <c r="D14" t="str">
        <f t="shared" si="11"/>
        <v/>
      </c>
      <c r="E14" t="str">
        <f>IF($A14="","",VLOOKUP($A14,发布任务!$A:$AB,4,0))</f>
        <v/>
      </c>
      <c r="F14" s="1" t="str">
        <f t="shared" si="1"/>
        <v/>
      </c>
      <c r="G14" s="1" t="str">
        <f t="shared" si="2"/>
        <v/>
      </c>
      <c r="J14" s="1" t="str">
        <f t="shared" si="3"/>
        <v/>
      </c>
      <c r="K14" s="1" t="str">
        <f t="shared" si="4"/>
        <v/>
      </c>
      <c r="L14" s="1" t="str">
        <f t="shared" si="5"/>
        <v/>
      </c>
      <c r="M14" s="1" t="str">
        <f t="shared" si="6"/>
        <v/>
      </c>
      <c r="N14" s="1" t="str">
        <f t="shared" si="7"/>
        <v/>
      </c>
      <c r="O14" s="1" t="str">
        <f t="shared" si="8"/>
        <v/>
      </c>
      <c r="P14" s="1" t="str">
        <f t="shared" si="9"/>
        <v/>
      </c>
      <c r="Q14" s="1" t="str">
        <f t="shared" si="10"/>
        <v/>
      </c>
    </row>
    <row r="15" spans="2:17">
      <c r="B15" t="str">
        <f>IF($A15="","",VLOOKUP($A15,发布任务!$A:$AB,5,0))</f>
        <v/>
      </c>
      <c r="C15" t="str">
        <f>IF($A15="","",VLOOKUP($A15,发布任务!$A:$AB,6,0))</f>
        <v/>
      </c>
      <c r="D15" t="str">
        <f t="shared" si="11"/>
        <v/>
      </c>
      <c r="E15" t="str">
        <f>IF($A15="","",VLOOKUP($A15,发布任务!$A:$AB,4,0))</f>
        <v/>
      </c>
      <c r="F15" s="1" t="str">
        <f t="shared" si="1"/>
        <v/>
      </c>
      <c r="G15" s="1" t="str">
        <f t="shared" si="2"/>
        <v/>
      </c>
      <c r="J15" s="1" t="str">
        <f t="shared" si="3"/>
        <v/>
      </c>
      <c r="K15" s="1" t="str">
        <f t="shared" si="4"/>
        <v/>
      </c>
      <c r="L15" s="1" t="str">
        <f t="shared" si="5"/>
        <v/>
      </c>
      <c r="M15" s="1" t="str">
        <f t="shared" si="6"/>
        <v/>
      </c>
      <c r="N15" s="1" t="str">
        <f t="shared" si="7"/>
        <v/>
      </c>
      <c r="O15" s="1" t="str">
        <f t="shared" si="8"/>
        <v/>
      </c>
      <c r="P15" s="1" t="str">
        <f t="shared" si="9"/>
        <v/>
      </c>
      <c r="Q15" s="1" t="str">
        <f t="shared" si="10"/>
        <v/>
      </c>
    </row>
    <row r="16" spans="2:17">
      <c r="B16" t="str">
        <f>IF($A16="","",VLOOKUP($A16,发布任务!$A:$AB,5,0))</f>
        <v/>
      </c>
      <c r="C16" t="str">
        <f>IF($A16="","",VLOOKUP($A16,发布任务!$A:$AB,6,0))</f>
        <v/>
      </c>
      <c r="D16" t="str">
        <f t="shared" si="11"/>
        <v/>
      </c>
      <c r="E16" t="str">
        <f>IF($A16="","",VLOOKUP($A16,发布任务!$A:$AB,4,0))</f>
        <v/>
      </c>
      <c r="F16" s="1" t="str">
        <f t="shared" si="1"/>
        <v/>
      </c>
      <c r="G16" s="1" t="str">
        <f t="shared" si="2"/>
        <v/>
      </c>
      <c r="J16" s="1" t="str">
        <f t="shared" si="3"/>
        <v/>
      </c>
      <c r="K16" s="1" t="str">
        <f t="shared" si="4"/>
        <v/>
      </c>
      <c r="L16" s="1" t="str">
        <f t="shared" si="5"/>
        <v/>
      </c>
      <c r="M16" s="1" t="str">
        <f t="shared" si="6"/>
        <v/>
      </c>
      <c r="N16" s="1" t="str">
        <f t="shared" si="7"/>
        <v/>
      </c>
      <c r="O16" s="1" t="str">
        <f t="shared" si="8"/>
        <v/>
      </c>
      <c r="P16" s="1" t="str">
        <f t="shared" si="9"/>
        <v/>
      </c>
      <c r="Q16" s="1" t="str">
        <f t="shared" si="10"/>
        <v/>
      </c>
    </row>
    <row r="17" spans="2:17">
      <c r="B17" t="str">
        <f>IF($A17="","",VLOOKUP($A17,发布任务!$A:$AB,5,0))</f>
        <v/>
      </c>
      <c r="C17" t="str">
        <f>IF($A17="","",VLOOKUP($A17,发布任务!$A:$AB,6,0))</f>
        <v/>
      </c>
      <c r="D17" t="str">
        <f t="shared" si="11"/>
        <v/>
      </c>
      <c r="E17" t="str">
        <f>IF($A17="","",VLOOKUP($A17,发布任务!$A:$AB,4,0))</f>
        <v/>
      </c>
      <c r="F17" s="1" t="str">
        <f t="shared" si="1"/>
        <v/>
      </c>
      <c r="G17" s="1" t="str">
        <f t="shared" si="2"/>
        <v/>
      </c>
      <c r="J17" s="1" t="str">
        <f t="shared" si="3"/>
        <v/>
      </c>
      <c r="K17" s="1" t="str">
        <f t="shared" si="4"/>
        <v/>
      </c>
      <c r="L17" s="1" t="str">
        <f t="shared" si="5"/>
        <v/>
      </c>
      <c r="M17" s="1" t="str">
        <f t="shared" si="6"/>
        <v/>
      </c>
      <c r="N17" s="1" t="str">
        <f t="shared" si="7"/>
        <v/>
      </c>
      <c r="O17" s="1" t="str">
        <f t="shared" si="8"/>
        <v/>
      </c>
      <c r="P17" s="1" t="str">
        <f t="shared" si="9"/>
        <v/>
      </c>
      <c r="Q17" s="1" t="str">
        <f t="shared" si="10"/>
        <v/>
      </c>
    </row>
    <row r="18" spans="2:17">
      <c r="B18" t="str">
        <f>IF($A18="","",VLOOKUP($A18,发布任务!$A:$AB,5,0))</f>
        <v/>
      </c>
      <c r="C18" t="str">
        <f>IF($A18="","",VLOOKUP($A18,发布任务!$A:$AB,6,0))</f>
        <v/>
      </c>
      <c r="D18" t="str">
        <f t="shared" si="11"/>
        <v/>
      </c>
      <c r="E18" t="str">
        <f>IF($A18="","",VLOOKUP($A18,发布任务!$A:$AB,4,0))</f>
        <v/>
      </c>
      <c r="F18" s="1" t="str">
        <f t="shared" si="1"/>
        <v/>
      </c>
      <c r="G18" s="1" t="str">
        <f t="shared" si="2"/>
        <v/>
      </c>
      <c r="J18" s="1" t="str">
        <f t="shared" si="3"/>
        <v/>
      </c>
      <c r="K18" s="1" t="str">
        <f t="shared" si="4"/>
        <v/>
      </c>
      <c r="L18" s="1" t="str">
        <f t="shared" si="5"/>
        <v/>
      </c>
      <c r="M18" s="1" t="str">
        <f t="shared" si="6"/>
        <v/>
      </c>
      <c r="N18" s="1" t="str">
        <f t="shared" si="7"/>
        <v/>
      </c>
      <c r="O18" s="1" t="str">
        <f t="shared" si="8"/>
        <v/>
      </c>
      <c r="P18" s="1" t="str">
        <f t="shared" si="9"/>
        <v/>
      </c>
      <c r="Q18" s="1" t="str">
        <f t="shared" si="10"/>
        <v/>
      </c>
    </row>
    <row r="19" spans="2:17">
      <c r="B19" t="str">
        <f>IF($A19="","",VLOOKUP($A19,发布任务!$A:$AB,5,0))</f>
        <v/>
      </c>
      <c r="C19" t="str">
        <f>IF($A19="","",VLOOKUP($A19,发布任务!$A:$AB,6,0))</f>
        <v/>
      </c>
      <c r="D19" t="str">
        <f t="shared" si="11"/>
        <v/>
      </c>
      <c r="E19" t="str">
        <f>IF($A19="","",VLOOKUP($A19,发布任务!$A:$AB,4,0))</f>
        <v/>
      </c>
      <c r="F19" s="1" t="str">
        <f t="shared" si="1"/>
        <v/>
      </c>
      <c r="G19" s="1" t="str">
        <f t="shared" si="2"/>
        <v/>
      </c>
      <c r="J19" s="1" t="str">
        <f t="shared" si="3"/>
        <v/>
      </c>
      <c r="K19" s="1" t="str">
        <f t="shared" si="4"/>
        <v/>
      </c>
      <c r="L19" s="1" t="str">
        <f t="shared" si="5"/>
        <v/>
      </c>
      <c r="M19" s="1" t="str">
        <f t="shared" si="6"/>
        <v/>
      </c>
      <c r="N19" s="1" t="str">
        <f t="shared" si="7"/>
        <v/>
      </c>
      <c r="O19" s="1" t="str">
        <f t="shared" si="8"/>
        <v/>
      </c>
      <c r="P19" s="1" t="str">
        <f t="shared" si="9"/>
        <v/>
      </c>
      <c r="Q19" s="1" t="str">
        <f t="shared" si="10"/>
        <v/>
      </c>
    </row>
    <row r="20" spans="2:17">
      <c r="B20" t="str">
        <f>IF($A20="","",VLOOKUP($A20,发布任务!$A:$AB,5,0))</f>
        <v/>
      </c>
      <c r="C20" t="str">
        <f>IF($A20="","",VLOOKUP($A20,发布任务!$A:$AB,6,0))</f>
        <v/>
      </c>
      <c r="D20" t="str">
        <f t="shared" si="11"/>
        <v/>
      </c>
      <c r="E20" t="str">
        <f>IF($A20="","",VLOOKUP($A20,发布任务!$A:$AB,4,0))</f>
        <v/>
      </c>
      <c r="F20" s="1" t="str">
        <f t="shared" si="1"/>
        <v/>
      </c>
      <c r="G20" s="1" t="str">
        <f t="shared" si="2"/>
        <v/>
      </c>
      <c r="J20" s="1" t="str">
        <f t="shared" si="3"/>
        <v/>
      </c>
      <c r="K20" s="1" t="str">
        <f t="shared" si="4"/>
        <v/>
      </c>
      <c r="L20" s="1" t="str">
        <f t="shared" si="5"/>
        <v/>
      </c>
      <c r="M20" s="1" t="str">
        <f t="shared" si="6"/>
        <v/>
      </c>
      <c r="N20" s="1" t="str">
        <f t="shared" si="7"/>
        <v/>
      </c>
      <c r="O20" s="1" t="str">
        <f t="shared" si="8"/>
        <v/>
      </c>
      <c r="P20" s="1" t="str">
        <f t="shared" si="9"/>
        <v/>
      </c>
      <c r="Q20" s="1" t="str">
        <f t="shared" si="10"/>
        <v/>
      </c>
    </row>
    <row r="21" spans="2:17">
      <c r="B21" t="str">
        <f>IF($A21="","",VLOOKUP($A21,发布任务!$A:$AB,5,0))</f>
        <v/>
      </c>
      <c r="C21" t="str">
        <f>IF($A21="","",VLOOKUP($A21,发布任务!$A:$AB,6,0))</f>
        <v/>
      </c>
      <c r="D21" t="str">
        <f t="shared" si="11"/>
        <v/>
      </c>
      <c r="E21" t="str">
        <f>IF($A21="","",VLOOKUP($A21,发布任务!$A:$AB,4,0))</f>
        <v/>
      </c>
      <c r="F21" s="1" t="str">
        <f t="shared" si="1"/>
        <v/>
      </c>
      <c r="G21" s="1" t="str">
        <f t="shared" si="2"/>
        <v/>
      </c>
      <c r="J21" s="1" t="str">
        <f t="shared" si="3"/>
        <v/>
      </c>
      <c r="K21" s="1" t="str">
        <f t="shared" si="4"/>
        <v/>
      </c>
      <c r="L21" s="1" t="str">
        <f t="shared" si="5"/>
        <v/>
      </c>
      <c r="M21" s="1" t="str">
        <f t="shared" si="6"/>
        <v/>
      </c>
      <c r="N21" s="1" t="str">
        <f t="shared" si="7"/>
        <v/>
      </c>
      <c r="O21" s="1" t="str">
        <f t="shared" si="8"/>
        <v/>
      </c>
      <c r="P21" s="1" t="str">
        <f t="shared" si="9"/>
        <v/>
      </c>
      <c r="Q21" s="1" t="str">
        <f t="shared" si="10"/>
        <v/>
      </c>
    </row>
    <row r="22" spans="2:17">
      <c r="B22" t="str">
        <f>IF($A22="","",VLOOKUP($A22,发布任务!$A:$AB,5,0))</f>
        <v/>
      </c>
      <c r="C22" t="str">
        <f>IF($A22="","",VLOOKUP($A22,发布任务!$A:$AB,6,0))</f>
        <v/>
      </c>
      <c r="D22" t="str">
        <f t="shared" si="11"/>
        <v/>
      </c>
      <c r="E22" t="str">
        <f>IF($A22="","",VLOOKUP($A22,发布任务!$A:$AB,4,0))</f>
        <v/>
      </c>
      <c r="F22" s="1" t="str">
        <f t="shared" si="1"/>
        <v/>
      </c>
      <c r="G22" s="1" t="str">
        <f t="shared" si="2"/>
        <v/>
      </c>
      <c r="J22" s="1" t="str">
        <f t="shared" si="3"/>
        <v/>
      </c>
      <c r="K22" s="1" t="str">
        <f t="shared" si="4"/>
        <v/>
      </c>
      <c r="L22" s="1" t="str">
        <f t="shared" si="5"/>
        <v/>
      </c>
      <c r="M22" s="1" t="str">
        <f t="shared" si="6"/>
        <v/>
      </c>
      <c r="N22" s="1" t="str">
        <f t="shared" si="7"/>
        <v/>
      </c>
      <c r="O22" s="1" t="str">
        <f t="shared" si="8"/>
        <v/>
      </c>
      <c r="P22" s="1" t="str">
        <f t="shared" si="9"/>
        <v/>
      </c>
      <c r="Q22" s="1" t="str">
        <f t="shared" si="10"/>
        <v/>
      </c>
    </row>
    <row r="23" spans="2:17">
      <c r="B23" t="str">
        <f>IF($A23="","",VLOOKUP($A23,发布任务!$A:$AB,5,0))</f>
        <v/>
      </c>
      <c r="C23" t="str">
        <f>IF($A23="","",VLOOKUP($A23,发布任务!$A:$AB,6,0))</f>
        <v/>
      </c>
      <c r="D23" t="str">
        <f t="shared" si="11"/>
        <v/>
      </c>
      <c r="E23" t="str">
        <f>IF($A23="","",VLOOKUP($A23,发布任务!$A:$AB,4,0))</f>
        <v/>
      </c>
      <c r="F23" s="1" t="str">
        <f t="shared" si="1"/>
        <v/>
      </c>
      <c r="G23" s="1" t="str">
        <f t="shared" si="2"/>
        <v/>
      </c>
      <c r="J23" s="1" t="str">
        <f t="shared" si="3"/>
        <v/>
      </c>
      <c r="K23" s="1" t="str">
        <f t="shared" si="4"/>
        <v/>
      </c>
      <c r="L23" s="1" t="str">
        <f t="shared" si="5"/>
        <v/>
      </c>
      <c r="M23" s="1" t="str">
        <f t="shared" si="6"/>
        <v/>
      </c>
      <c r="N23" s="1" t="str">
        <f t="shared" si="7"/>
        <v/>
      </c>
      <c r="O23" s="1" t="str">
        <f t="shared" si="8"/>
        <v/>
      </c>
      <c r="P23" s="1" t="str">
        <f t="shared" si="9"/>
        <v/>
      </c>
      <c r="Q23" s="1" t="str">
        <f t="shared" si="10"/>
        <v/>
      </c>
    </row>
    <row r="24" spans="2:17">
      <c r="B24" t="str">
        <f>IF($A24="","",VLOOKUP($A24,发布任务!$A:$AB,5,0))</f>
        <v/>
      </c>
      <c r="C24" t="str">
        <f>IF($A24="","",VLOOKUP($A24,发布任务!$A:$AB,6,0))</f>
        <v/>
      </c>
      <c r="D24" t="str">
        <f t="shared" si="11"/>
        <v/>
      </c>
      <c r="E24" t="str">
        <f>IF($A24="","",VLOOKUP($A24,发布任务!$A:$AB,4,0))</f>
        <v/>
      </c>
      <c r="F24" s="1" t="str">
        <f t="shared" si="1"/>
        <v/>
      </c>
      <c r="G24" s="1" t="str">
        <f t="shared" si="2"/>
        <v/>
      </c>
      <c r="J24" s="1" t="str">
        <f t="shared" si="3"/>
        <v/>
      </c>
      <c r="K24" s="1" t="str">
        <f t="shared" si="4"/>
        <v/>
      </c>
      <c r="L24" s="1" t="str">
        <f t="shared" si="5"/>
        <v/>
      </c>
      <c r="M24" s="1" t="str">
        <f t="shared" si="6"/>
        <v/>
      </c>
      <c r="N24" s="1" t="str">
        <f t="shared" si="7"/>
        <v/>
      </c>
      <c r="O24" s="1" t="str">
        <f t="shared" si="8"/>
        <v/>
      </c>
      <c r="P24" s="1" t="str">
        <f t="shared" si="9"/>
        <v/>
      </c>
      <c r="Q24" s="1" t="str">
        <f t="shared" si="10"/>
        <v/>
      </c>
    </row>
  </sheetData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workbookViewId="0">
      <selection activeCell="H5" sqref="H5"/>
    </sheetView>
  </sheetViews>
  <sheetFormatPr defaultColWidth="9" defaultRowHeight="13.5"/>
  <cols>
    <col min="2" max="2" width="16.25" customWidth="1"/>
    <col min="5" max="7" width="9.375"/>
    <col min="8" max="8" width="11.375" customWidth="1"/>
  </cols>
  <sheetData>
    <row r="1" spans="1:13">
      <c r="A1" s="1" t="s">
        <v>123</v>
      </c>
      <c r="B1" s="1" t="s">
        <v>124</v>
      </c>
      <c r="C1" s="1" t="s">
        <v>193</v>
      </c>
      <c r="D1" s="1" t="s">
        <v>189</v>
      </c>
      <c r="E1" s="1" t="s">
        <v>197</v>
      </c>
      <c r="F1" s="1" t="s">
        <v>198</v>
      </c>
      <c r="G1" s="1" t="s">
        <v>199</v>
      </c>
      <c r="H1" s="1" t="s">
        <v>200</v>
      </c>
      <c r="I1" s="1" t="s">
        <v>201</v>
      </c>
      <c r="J1" s="1" t="s">
        <v>1071</v>
      </c>
      <c r="K1" s="1" t="s">
        <v>1072</v>
      </c>
      <c r="L1" s="1" t="s">
        <v>1073</v>
      </c>
      <c r="M1" s="1" t="s">
        <v>1074</v>
      </c>
    </row>
    <row r="2" spans="1:13">
      <c r="A2" s="1" t="s">
        <v>153</v>
      </c>
      <c r="B2" s="1" t="s">
        <v>154</v>
      </c>
      <c r="C2" s="1" t="s">
        <v>153</v>
      </c>
      <c r="D2" s="1" t="s">
        <v>153</v>
      </c>
      <c r="E2" s="1" t="s">
        <v>155</v>
      </c>
      <c r="F2" s="1" t="s">
        <v>155</v>
      </c>
      <c r="G2" s="1" t="s">
        <v>155</v>
      </c>
      <c r="H2" s="1" t="s">
        <v>155</v>
      </c>
      <c r="I2" s="1" t="s">
        <v>153</v>
      </c>
      <c r="J2" s="1" t="s">
        <v>153</v>
      </c>
      <c r="K2" s="1" t="s">
        <v>153</v>
      </c>
      <c r="L2" s="1" t="s">
        <v>154</v>
      </c>
      <c r="M2" s="1" t="s">
        <v>153</v>
      </c>
    </row>
    <row r="3" spans="1:13">
      <c r="A3" s="1" t="s">
        <v>211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212</v>
      </c>
      <c r="B4" s="1" t="s">
        <v>213</v>
      </c>
      <c r="C4" s="1" t="s">
        <v>89</v>
      </c>
      <c r="D4" s="1" t="s">
        <v>189</v>
      </c>
      <c r="E4" s="1" t="s">
        <v>90</v>
      </c>
      <c r="F4" s="1" t="s">
        <v>91</v>
      </c>
      <c r="G4" s="1" t="s">
        <v>92</v>
      </c>
      <c r="H4" s="1" t="s">
        <v>218</v>
      </c>
      <c r="I4" s="1" t="s">
        <v>219</v>
      </c>
      <c r="J4" s="1" t="s">
        <v>1075</v>
      </c>
      <c r="K4" s="1" t="s">
        <v>1076</v>
      </c>
      <c r="L4" s="1" t="s">
        <v>1077</v>
      </c>
      <c r="M4" s="1" t="s">
        <v>1078</v>
      </c>
    </row>
    <row r="5" spans="1:13">
      <c r="A5">
        <f>IF($D5="","",捏造NPC!$J$2+ROW()-5)</f>
        <v>3000</v>
      </c>
      <c r="B5" s="1" t="str">
        <f>IF($D5="","",VLOOKUP($D5,捏造NPC!$A:$AB,5,0))</f>
        <v>资13-军衔-翼楠</v>
      </c>
      <c r="C5" s="1">
        <f>IF($D5="","",VLOOKUP($D5,捏造NPC!$A:$AB,11,0))</f>
        <v>7</v>
      </c>
      <c r="D5">
        <v>1001</v>
      </c>
      <c r="E5" s="1">
        <f>IF($D5="","",VLOOKUP($D5,捏造NPC!$A:$AB,12,0))</f>
        <v>231</v>
      </c>
      <c r="F5" s="1">
        <f>IF($D5="","",VLOOKUP($D5,捏造NPC!$A:$AB,13,0))</f>
        <v>123</v>
      </c>
      <c r="G5" s="1">
        <f>IF($D5="","",VLOOKUP($D5,捏造NPC!$A:$AB,14,0))</f>
        <v>22</v>
      </c>
      <c r="H5" s="2">
        <f>IF($D5="","",(90-VLOOKUP($D5,捏造NPC!$A:$AB,15,0))*3.1415926/180)</f>
        <v>0</v>
      </c>
      <c r="I5" s="1">
        <f>IF($A5="","",-1)</f>
        <v>-1</v>
      </c>
      <c r="J5" s="1">
        <f>IF($A5="","",-1)</f>
        <v>-1</v>
      </c>
      <c r="K5" s="1">
        <f>IF($A5="","",-1)</f>
        <v>-1</v>
      </c>
      <c r="L5" s="1">
        <f>IF($A5="","",0)</f>
        <v>0</v>
      </c>
      <c r="M5" s="1">
        <f>IF($A5="","",0)</f>
        <v>0</v>
      </c>
    </row>
    <row r="6" spans="1:13">
      <c r="A6" t="str">
        <f>IF($D6="","",捏造NPC!$J$2+ROW()-5)</f>
        <v/>
      </c>
      <c r="B6" s="1" t="str">
        <f>IF($D6="","",VLOOKUP($D6,捏造NPC!$A:$AB,5,0))</f>
        <v/>
      </c>
      <c r="C6" s="1" t="str">
        <f>IF($D6="","",VLOOKUP($D6,捏造NPC!$A:$AB,11,0))</f>
        <v/>
      </c>
      <c r="E6" s="1" t="str">
        <f>IF($D6="","",VLOOKUP($D6,捏造NPC!$A:$AB,12,0))</f>
        <v/>
      </c>
      <c r="F6" s="1" t="str">
        <f>IF($D6="","",VLOOKUP($D6,捏造NPC!$A:$AB,13,0))</f>
        <v/>
      </c>
      <c r="G6" s="1" t="str">
        <f>IF($D6="","",VLOOKUP($D6,捏造NPC!$A:$AB,14,0))</f>
        <v/>
      </c>
      <c r="H6" s="2" t="str">
        <f>IF($D6="","",(90-VLOOKUP($D6,捏造NPC!$A:$AB,15,0))*3.1415926/180)</f>
        <v/>
      </c>
      <c r="I6" s="1" t="str">
        <f t="shared" ref="I6:I24" si="0">IF($A6="","",-1)</f>
        <v/>
      </c>
      <c r="J6" s="1" t="str">
        <f t="shared" ref="J6:J24" si="1">IF($A6="","",-1)</f>
        <v/>
      </c>
      <c r="K6" s="1" t="str">
        <f t="shared" ref="K6:K24" si="2">IF($A6="","",-1)</f>
        <v/>
      </c>
      <c r="L6" s="1" t="str">
        <f t="shared" ref="L6:L24" si="3">IF($A6="","",0)</f>
        <v/>
      </c>
      <c r="M6" s="1" t="str">
        <f t="shared" ref="M6:M24" si="4">IF($A6="","",0)</f>
        <v/>
      </c>
    </row>
    <row r="7" spans="1:13">
      <c r="A7" t="str">
        <f>IF($D7="","",捏造NPC!$J$2+ROW()-5)</f>
        <v/>
      </c>
      <c r="B7" s="1" t="str">
        <f>IF($D7="","",VLOOKUP($D7,捏造NPC!$A:$AB,5,0))</f>
        <v/>
      </c>
      <c r="C7" s="1" t="str">
        <f>IF($D7="","",VLOOKUP($D7,捏造NPC!$A:$AB,11,0))</f>
        <v/>
      </c>
      <c r="E7" s="1" t="str">
        <f>IF($D7="","",VLOOKUP($D7,捏造NPC!$A:$AB,12,0))</f>
        <v/>
      </c>
      <c r="F7" s="1" t="str">
        <f>IF($D7="","",VLOOKUP($D7,捏造NPC!$A:$AB,13,0))</f>
        <v/>
      </c>
      <c r="G7" s="1" t="str">
        <f>IF($D7="","",VLOOKUP($D7,捏造NPC!$A:$AB,14,0))</f>
        <v/>
      </c>
      <c r="H7" s="2" t="str">
        <f>IF($D7="","",(90-VLOOKUP($D7,捏造NPC!$A:$AB,15,0))*3.1415926/180)</f>
        <v/>
      </c>
      <c r="I7" s="1" t="str">
        <f t="shared" si="0"/>
        <v/>
      </c>
      <c r="J7" s="1" t="str">
        <f t="shared" si="1"/>
        <v/>
      </c>
      <c r="K7" s="1" t="str">
        <f t="shared" si="2"/>
        <v/>
      </c>
      <c r="L7" s="1" t="str">
        <f t="shared" si="3"/>
        <v/>
      </c>
      <c r="M7" s="1" t="str">
        <f t="shared" si="4"/>
        <v/>
      </c>
    </row>
    <row r="8" spans="1:13">
      <c r="A8" t="str">
        <f>IF($D8="","",捏造NPC!$J$2+ROW()-5)</f>
        <v/>
      </c>
      <c r="B8" s="1" t="str">
        <f>IF($D8="","",VLOOKUP($D8,捏造NPC!$A:$AB,5,0))</f>
        <v/>
      </c>
      <c r="C8" s="1" t="str">
        <f>IF($D8="","",VLOOKUP($D8,捏造NPC!$A:$AB,11,0))</f>
        <v/>
      </c>
      <c r="E8" s="1" t="str">
        <f>IF($D8="","",VLOOKUP($D8,捏造NPC!$A:$AB,12,0))</f>
        <v/>
      </c>
      <c r="F8" s="1" t="str">
        <f>IF($D8="","",VLOOKUP($D8,捏造NPC!$A:$AB,13,0))</f>
        <v/>
      </c>
      <c r="G8" s="1" t="str">
        <f>IF($D8="","",VLOOKUP($D8,捏造NPC!$A:$AB,14,0))</f>
        <v/>
      </c>
      <c r="H8" s="2" t="str">
        <f>IF($D8="","",(90-VLOOKUP($D8,捏造NPC!$A:$AB,15,0))*3.1415926/180)</f>
        <v/>
      </c>
      <c r="I8" s="1" t="str">
        <f t="shared" si="0"/>
        <v/>
      </c>
      <c r="J8" s="1" t="str">
        <f t="shared" si="1"/>
        <v/>
      </c>
      <c r="K8" s="1" t="str">
        <f t="shared" si="2"/>
        <v/>
      </c>
      <c r="L8" s="1" t="str">
        <f t="shared" si="3"/>
        <v/>
      </c>
      <c r="M8" s="1" t="str">
        <f t="shared" si="4"/>
        <v/>
      </c>
    </row>
    <row r="9" spans="1:13">
      <c r="A9" t="str">
        <f>IF($D9="","",捏造NPC!$J$2+ROW()-5)</f>
        <v/>
      </c>
      <c r="B9" s="1" t="str">
        <f>IF($D9="","",VLOOKUP($D9,捏造NPC!$A:$AB,5,0))</f>
        <v/>
      </c>
      <c r="C9" s="1" t="str">
        <f>IF($D9="","",VLOOKUP($D9,捏造NPC!$A:$AB,11,0))</f>
        <v/>
      </c>
      <c r="E9" s="1" t="str">
        <f>IF($D9="","",VLOOKUP($D9,捏造NPC!$A:$AB,12,0))</f>
        <v/>
      </c>
      <c r="F9" s="1" t="str">
        <f>IF($D9="","",VLOOKUP($D9,捏造NPC!$A:$AB,13,0))</f>
        <v/>
      </c>
      <c r="G9" s="1" t="str">
        <f>IF($D9="","",VLOOKUP($D9,捏造NPC!$A:$AB,14,0))</f>
        <v/>
      </c>
      <c r="H9" s="2" t="str">
        <f>IF($D9="","",(90-VLOOKUP($D9,捏造NPC!$A:$AB,15,0))*3.1415926/180)</f>
        <v/>
      </c>
      <c r="I9" s="1" t="str">
        <f t="shared" si="0"/>
        <v/>
      </c>
      <c r="J9" s="1" t="str">
        <f t="shared" si="1"/>
        <v/>
      </c>
      <c r="K9" s="1" t="str">
        <f t="shared" si="2"/>
        <v/>
      </c>
      <c r="L9" s="1" t="str">
        <f t="shared" si="3"/>
        <v/>
      </c>
      <c r="M9" s="1" t="str">
        <f t="shared" si="4"/>
        <v/>
      </c>
    </row>
    <row r="10" spans="1:13">
      <c r="A10" t="str">
        <f>IF($D10="","",捏造NPC!$J$2+ROW()-5)</f>
        <v/>
      </c>
      <c r="B10" s="1" t="str">
        <f>IF($D10="","",VLOOKUP($D10,捏造NPC!$A:$AB,5,0))</f>
        <v/>
      </c>
      <c r="C10" s="1" t="str">
        <f>IF($D10="","",VLOOKUP($D10,捏造NPC!$A:$AB,11,0))</f>
        <v/>
      </c>
      <c r="E10" s="1" t="str">
        <f>IF($D10="","",VLOOKUP($D10,捏造NPC!$A:$AB,12,0))</f>
        <v/>
      </c>
      <c r="F10" s="1" t="str">
        <f>IF($D10="","",VLOOKUP($D10,捏造NPC!$A:$AB,13,0))</f>
        <v/>
      </c>
      <c r="G10" s="1" t="str">
        <f>IF($D10="","",VLOOKUP($D10,捏造NPC!$A:$AB,14,0))</f>
        <v/>
      </c>
      <c r="H10" s="2" t="str">
        <f>IF($D10="","",(90-VLOOKUP($D10,捏造NPC!$A:$AB,15,0))*3.1415926/180)</f>
        <v/>
      </c>
      <c r="I10" s="1" t="str">
        <f t="shared" si="0"/>
        <v/>
      </c>
      <c r="J10" s="1" t="str">
        <f t="shared" si="1"/>
        <v/>
      </c>
      <c r="K10" s="1" t="str">
        <f t="shared" si="2"/>
        <v/>
      </c>
      <c r="L10" s="1" t="str">
        <f t="shared" si="3"/>
        <v/>
      </c>
      <c r="M10" s="1" t="str">
        <f t="shared" si="4"/>
        <v/>
      </c>
    </row>
    <row r="11" spans="1:13">
      <c r="A11" t="str">
        <f>IF($D11="","",捏造NPC!$J$2+ROW()-5)</f>
        <v/>
      </c>
      <c r="B11" s="1" t="str">
        <f>IF($D11="","",VLOOKUP($D11,捏造NPC!$A:$AB,5,0))</f>
        <v/>
      </c>
      <c r="C11" s="1" t="str">
        <f>IF($D11="","",VLOOKUP($D11,捏造NPC!$A:$AB,11,0))</f>
        <v/>
      </c>
      <c r="E11" s="1" t="str">
        <f>IF($D11="","",VLOOKUP($D11,捏造NPC!$A:$AB,12,0))</f>
        <v/>
      </c>
      <c r="F11" s="1" t="str">
        <f>IF($D11="","",VLOOKUP($D11,捏造NPC!$A:$AB,13,0))</f>
        <v/>
      </c>
      <c r="G11" s="1" t="str">
        <f>IF($D11="","",VLOOKUP($D11,捏造NPC!$A:$AB,14,0))</f>
        <v/>
      </c>
      <c r="H11" s="2" t="str">
        <f>IF($D11="","",(90-VLOOKUP($D11,捏造NPC!$A:$AB,15,0))*3.1415926/180)</f>
        <v/>
      </c>
      <c r="I11" s="1" t="str">
        <f t="shared" si="0"/>
        <v/>
      </c>
      <c r="J11" s="1" t="str">
        <f t="shared" si="1"/>
        <v/>
      </c>
      <c r="K11" s="1" t="str">
        <f t="shared" si="2"/>
        <v/>
      </c>
      <c r="L11" s="1" t="str">
        <f t="shared" si="3"/>
        <v/>
      </c>
      <c r="M11" s="1" t="str">
        <f t="shared" si="4"/>
        <v/>
      </c>
    </row>
    <row r="12" spans="1:13">
      <c r="A12" t="str">
        <f>IF($D12="","",捏造NPC!$J$2+ROW()-5)</f>
        <v/>
      </c>
      <c r="B12" s="1" t="str">
        <f>IF($D12="","",VLOOKUP($D12,捏造NPC!$A:$AB,5,0))</f>
        <v/>
      </c>
      <c r="C12" s="1" t="str">
        <f>IF($D12="","",VLOOKUP($D12,捏造NPC!$A:$AB,11,0))</f>
        <v/>
      </c>
      <c r="E12" s="1" t="str">
        <f>IF($D12="","",VLOOKUP($D12,捏造NPC!$A:$AB,12,0))</f>
        <v/>
      </c>
      <c r="F12" s="1" t="str">
        <f>IF($D12="","",VLOOKUP($D12,捏造NPC!$A:$AB,13,0))</f>
        <v/>
      </c>
      <c r="G12" s="1" t="str">
        <f>IF($D12="","",VLOOKUP($D12,捏造NPC!$A:$AB,14,0))</f>
        <v/>
      </c>
      <c r="H12" s="2" t="str">
        <f>IF($D12="","",(90-VLOOKUP($D12,捏造NPC!$A:$AB,15,0))*3.1415926/180)</f>
        <v/>
      </c>
      <c r="I12" s="1" t="str">
        <f t="shared" si="0"/>
        <v/>
      </c>
      <c r="J12" s="1" t="str">
        <f t="shared" si="1"/>
        <v/>
      </c>
      <c r="K12" s="1" t="str">
        <f t="shared" si="2"/>
        <v/>
      </c>
      <c r="L12" s="1" t="str">
        <f t="shared" si="3"/>
        <v/>
      </c>
      <c r="M12" s="1" t="str">
        <f t="shared" si="4"/>
        <v/>
      </c>
    </row>
    <row r="13" spans="1:13">
      <c r="A13" t="str">
        <f>IF($D13="","",捏造NPC!$J$2+ROW()-5)</f>
        <v/>
      </c>
      <c r="B13" s="1" t="str">
        <f>IF($D13="","",VLOOKUP($D13,捏造NPC!$A:$AB,5,0))</f>
        <v/>
      </c>
      <c r="C13" s="1" t="str">
        <f>IF($D13="","",VLOOKUP($D13,捏造NPC!$A:$AB,11,0))</f>
        <v/>
      </c>
      <c r="E13" s="1" t="str">
        <f>IF($D13="","",VLOOKUP($D13,捏造NPC!$A:$AB,12,0))</f>
        <v/>
      </c>
      <c r="F13" s="1" t="str">
        <f>IF($D13="","",VLOOKUP($D13,捏造NPC!$A:$AB,13,0))</f>
        <v/>
      </c>
      <c r="G13" s="1" t="str">
        <f>IF($D13="","",VLOOKUP($D13,捏造NPC!$A:$AB,14,0))</f>
        <v/>
      </c>
      <c r="H13" s="2" t="str">
        <f>IF($D13="","",(90-VLOOKUP($D13,捏造NPC!$A:$AB,15,0))*3.1415926/180)</f>
        <v/>
      </c>
      <c r="I13" s="1" t="str">
        <f t="shared" si="0"/>
        <v/>
      </c>
      <c r="J13" s="1" t="str">
        <f t="shared" si="1"/>
        <v/>
      </c>
      <c r="K13" s="1" t="str">
        <f t="shared" si="2"/>
        <v/>
      </c>
      <c r="L13" s="1" t="str">
        <f t="shared" si="3"/>
        <v/>
      </c>
      <c r="M13" s="1" t="str">
        <f t="shared" si="4"/>
        <v/>
      </c>
    </row>
    <row r="14" spans="1:13">
      <c r="A14" t="str">
        <f>IF($D14="","",捏造NPC!$J$2+ROW()-5)</f>
        <v/>
      </c>
      <c r="B14" s="1" t="str">
        <f>IF($D14="","",VLOOKUP($D14,捏造NPC!$A:$AB,5,0))</f>
        <v/>
      </c>
      <c r="C14" s="1" t="str">
        <f>IF($D14="","",VLOOKUP($D14,捏造NPC!$A:$AB,11,0))</f>
        <v/>
      </c>
      <c r="E14" s="1" t="str">
        <f>IF($D14="","",VLOOKUP($D14,捏造NPC!$A:$AB,12,0))</f>
        <v/>
      </c>
      <c r="F14" s="1" t="str">
        <f>IF($D14="","",VLOOKUP($D14,捏造NPC!$A:$AB,13,0))</f>
        <v/>
      </c>
      <c r="G14" s="1" t="str">
        <f>IF($D14="","",VLOOKUP($D14,捏造NPC!$A:$AB,14,0))</f>
        <v/>
      </c>
      <c r="H14" s="2" t="str">
        <f>IF($D14="","",(90-VLOOKUP($D14,捏造NPC!$A:$AB,15,0))*3.1415926/180)</f>
        <v/>
      </c>
      <c r="I14" s="1" t="str">
        <f t="shared" si="0"/>
        <v/>
      </c>
      <c r="J14" s="1" t="str">
        <f t="shared" si="1"/>
        <v/>
      </c>
      <c r="K14" s="1" t="str">
        <f t="shared" si="2"/>
        <v/>
      </c>
      <c r="L14" s="1" t="str">
        <f t="shared" si="3"/>
        <v/>
      </c>
      <c r="M14" s="1" t="str">
        <f t="shared" si="4"/>
        <v/>
      </c>
    </row>
    <row r="15" spans="1:13">
      <c r="A15" t="str">
        <f>IF($D15="","",捏造NPC!$J$2+ROW()-5)</f>
        <v/>
      </c>
      <c r="B15" s="1" t="str">
        <f>IF($D15="","",VLOOKUP($D15,捏造NPC!$A:$AB,5,0))</f>
        <v/>
      </c>
      <c r="C15" s="1" t="str">
        <f>IF($D15="","",VLOOKUP($D15,捏造NPC!$A:$AB,11,0))</f>
        <v/>
      </c>
      <c r="E15" s="1" t="str">
        <f>IF($D15="","",VLOOKUP($D15,捏造NPC!$A:$AB,12,0))</f>
        <v/>
      </c>
      <c r="F15" s="1" t="str">
        <f>IF($D15="","",VLOOKUP($D15,捏造NPC!$A:$AB,13,0))</f>
        <v/>
      </c>
      <c r="G15" s="1" t="str">
        <f>IF($D15="","",VLOOKUP($D15,捏造NPC!$A:$AB,14,0))</f>
        <v/>
      </c>
      <c r="H15" s="2" t="str">
        <f>IF($D15="","",(90-VLOOKUP($D15,捏造NPC!$A:$AB,15,0))*3.1415926/180)</f>
        <v/>
      </c>
      <c r="I15" s="1" t="str">
        <f t="shared" si="0"/>
        <v/>
      </c>
      <c r="J15" s="1" t="str">
        <f t="shared" si="1"/>
        <v/>
      </c>
      <c r="K15" s="1" t="str">
        <f t="shared" si="2"/>
        <v/>
      </c>
      <c r="L15" s="1" t="str">
        <f t="shared" si="3"/>
        <v/>
      </c>
      <c r="M15" s="1" t="str">
        <f t="shared" si="4"/>
        <v/>
      </c>
    </row>
    <row r="16" spans="1:13">
      <c r="A16" t="str">
        <f>IF($D16="","",捏造NPC!$J$2+ROW()-5)</f>
        <v/>
      </c>
      <c r="B16" s="1" t="str">
        <f>IF($D16="","",VLOOKUP($D16,捏造NPC!$A:$AB,5,0))</f>
        <v/>
      </c>
      <c r="C16" s="1" t="str">
        <f>IF($D16="","",VLOOKUP($D16,捏造NPC!$A:$AB,11,0))</f>
        <v/>
      </c>
      <c r="E16" s="1" t="str">
        <f>IF($D16="","",VLOOKUP($D16,捏造NPC!$A:$AB,12,0))</f>
        <v/>
      </c>
      <c r="F16" s="1" t="str">
        <f>IF($D16="","",VLOOKUP($D16,捏造NPC!$A:$AB,13,0))</f>
        <v/>
      </c>
      <c r="G16" s="1" t="str">
        <f>IF($D16="","",VLOOKUP($D16,捏造NPC!$A:$AB,14,0))</f>
        <v/>
      </c>
      <c r="H16" s="2" t="str">
        <f>IF($D16="","",(90-VLOOKUP($D16,捏造NPC!$A:$AB,15,0))*3.1415926/180)</f>
        <v/>
      </c>
      <c r="I16" s="1" t="str">
        <f t="shared" si="0"/>
        <v/>
      </c>
      <c r="J16" s="1" t="str">
        <f t="shared" si="1"/>
        <v/>
      </c>
      <c r="K16" s="1" t="str">
        <f t="shared" si="2"/>
        <v/>
      </c>
      <c r="L16" s="1" t="str">
        <f t="shared" si="3"/>
        <v/>
      </c>
      <c r="M16" s="1" t="str">
        <f t="shared" si="4"/>
        <v/>
      </c>
    </row>
    <row r="17" spans="1:13">
      <c r="A17" t="str">
        <f>IF($D17="","",捏造NPC!$J$2+ROW()-5)</f>
        <v/>
      </c>
      <c r="B17" s="1" t="str">
        <f>IF($D17="","",VLOOKUP($D17,捏造NPC!$A:$AB,5,0))</f>
        <v/>
      </c>
      <c r="C17" s="1" t="str">
        <f>IF($D17="","",VLOOKUP($D17,捏造NPC!$A:$AB,11,0))</f>
        <v/>
      </c>
      <c r="E17" s="1" t="str">
        <f>IF($D17="","",VLOOKUP($D17,捏造NPC!$A:$AB,12,0))</f>
        <v/>
      </c>
      <c r="F17" s="1" t="str">
        <f>IF($D17="","",VLOOKUP($D17,捏造NPC!$A:$AB,13,0))</f>
        <v/>
      </c>
      <c r="G17" s="1" t="str">
        <f>IF($D17="","",VLOOKUP($D17,捏造NPC!$A:$AB,14,0))</f>
        <v/>
      </c>
      <c r="H17" s="2" t="str">
        <f>IF($D17="","",(90-VLOOKUP($D17,捏造NPC!$A:$AB,15,0))*3.1415926/180)</f>
        <v/>
      </c>
      <c r="I17" s="1" t="str">
        <f t="shared" si="0"/>
        <v/>
      </c>
      <c r="J17" s="1" t="str">
        <f t="shared" si="1"/>
        <v/>
      </c>
      <c r="K17" s="1" t="str">
        <f t="shared" si="2"/>
        <v/>
      </c>
      <c r="L17" s="1" t="str">
        <f t="shared" si="3"/>
        <v/>
      </c>
      <c r="M17" s="1" t="str">
        <f t="shared" si="4"/>
        <v/>
      </c>
    </row>
    <row r="18" spans="1:13">
      <c r="A18" t="str">
        <f>IF($D18="","",捏造NPC!$J$2+ROW()-5)</f>
        <v/>
      </c>
      <c r="B18" s="1" t="str">
        <f>IF($D18="","",VLOOKUP($D18,捏造NPC!$A:$AB,5,0))</f>
        <v/>
      </c>
      <c r="C18" s="1" t="str">
        <f>IF($D18="","",VLOOKUP($D18,捏造NPC!$A:$AB,11,0))</f>
        <v/>
      </c>
      <c r="E18" s="1" t="str">
        <f>IF($D18="","",VLOOKUP($D18,捏造NPC!$A:$AB,12,0))</f>
        <v/>
      </c>
      <c r="F18" s="1" t="str">
        <f>IF($D18="","",VLOOKUP($D18,捏造NPC!$A:$AB,13,0))</f>
        <v/>
      </c>
      <c r="G18" s="1" t="str">
        <f>IF($D18="","",VLOOKUP($D18,捏造NPC!$A:$AB,14,0))</f>
        <v/>
      </c>
      <c r="H18" s="2" t="str">
        <f>IF($D18="","",(90-VLOOKUP($D18,捏造NPC!$A:$AB,15,0))*3.1415926/180)</f>
        <v/>
      </c>
      <c r="I18" s="1" t="str">
        <f t="shared" si="0"/>
        <v/>
      </c>
      <c r="J18" s="1" t="str">
        <f t="shared" si="1"/>
        <v/>
      </c>
      <c r="K18" s="1" t="str">
        <f t="shared" si="2"/>
        <v/>
      </c>
      <c r="L18" s="1" t="str">
        <f t="shared" si="3"/>
        <v/>
      </c>
      <c r="M18" s="1" t="str">
        <f t="shared" si="4"/>
        <v/>
      </c>
    </row>
    <row r="19" spans="1:13">
      <c r="A19" t="str">
        <f>IF($D19="","",捏造NPC!$J$2+ROW()-5)</f>
        <v/>
      </c>
      <c r="B19" s="1" t="str">
        <f>IF($D19="","",VLOOKUP($D19,捏造NPC!$A:$AB,5,0))</f>
        <v/>
      </c>
      <c r="C19" s="1" t="str">
        <f>IF($D19="","",VLOOKUP($D19,捏造NPC!$A:$AB,11,0))</f>
        <v/>
      </c>
      <c r="E19" s="1" t="str">
        <f>IF($D19="","",VLOOKUP($D19,捏造NPC!$A:$AB,12,0))</f>
        <v/>
      </c>
      <c r="F19" s="1" t="str">
        <f>IF($D19="","",VLOOKUP($D19,捏造NPC!$A:$AB,13,0))</f>
        <v/>
      </c>
      <c r="G19" s="1" t="str">
        <f>IF($D19="","",VLOOKUP($D19,捏造NPC!$A:$AB,14,0))</f>
        <v/>
      </c>
      <c r="H19" s="2" t="str">
        <f>IF($D19="","",(90-VLOOKUP($D19,捏造NPC!$A:$AB,15,0))*3.1415926/180)</f>
        <v/>
      </c>
      <c r="I19" s="1" t="str">
        <f t="shared" si="0"/>
        <v/>
      </c>
      <c r="J19" s="1" t="str">
        <f t="shared" si="1"/>
        <v/>
      </c>
      <c r="K19" s="1" t="str">
        <f t="shared" si="2"/>
        <v/>
      </c>
      <c r="L19" s="1" t="str">
        <f t="shared" si="3"/>
        <v/>
      </c>
      <c r="M19" s="1" t="str">
        <f t="shared" si="4"/>
        <v/>
      </c>
    </row>
    <row r="20" spans="1:13">
      <c r="A20" t="str">
        <f>IF($D20="","",捏造NPC!$J$2+ROW()-5)</f>
        <v/>
      </c>
      <c r="B20" s="1" t="str">
        <f>IF($D20="","",VLOOKUP($D20,捏造NPC!$A:$AB,5,0))</f>
        <v/>
      </c>
      <c r="C20" s="1" t="str">
        <f>IF($D20="","",VLOOKUP($D20,捏造NPC!$A:$AB,11,0))</f>
        <v/>
      </c>
      <c r="E20" s="1" t="str">
        <f>IF($D20="","",VLOOKUP($D20,捏造NPC!$A:$AB,12,0))</f>
        <v/>
      </c>
      <c r="F20" s="1" t="str">
        <f>IF($D20="","",VLOOKUP($D20,捏造NPC!$A:$AB,13,0))</f>
        <v/>
      </c>
      <c r="G20" s="1" t="str">
        <f>IF($D20="","",VLOOKUP($D20,捏造NPC!$A:$AB,14,0))</f>
        <v/>
      </c>
      <c r="H20" s="2" t="str">
        <f>IF($D20="","",(90-VLOOKUP($D20,捏造NPC!$A:$AB,15,0))*3.1415926/180)</f>
        <v/>
      </c>
      <c r="I20" s="1" t="str">
        <f t="shared" si="0"/>
        <v/>
      </c>
      <c r="J20" s="1" t="str">
        <f t="shared" si="1"/>
        <v/>
      </c>
      <c r="K20" s="1" t="str">
        <f t="shared" si="2"/>
        <v/>
      </c>
      <c r="L20" s="1" t="str">
        <f t="shared" si="3"/>
        <v/>
      </c>
      <c r="M20" s="1" t="str">
        <f t="shared" si="4"/>
        <v/>
      </c>
    </row>
    <row r="21" spans="1:13">
      <c r="A21" t="str">
        <f>IF($D21="","",捏造NPC!$J$2+ROW()-5)</f>
        <v/>
      </c>
      <c r="B21" s="1" t="str">
        <f>IF($D21="","",VLOOKUP($D21,捏造NPC!$A:$AB,5,0))</f>
        <v/>
      </c>
      <c r="C21" s="1" t="str">
        <f>IF($D21="","",VLOOKUP($D21,捏造NPC!$A:$AB,11,0))</f>
        <v/>
      </c>
      <c r="E21" s="1" t="str">
        <f>IF($D21="","",VLOOKUP($D21,捏造NPC!$A:$AB,12,0))</f>
        <v/>
      </c>
      <c r="F21" s="1" t="str">
        <f>IF($D21="","",VLOOKUP($D21,捏造NPC!$A:$AB,13,0))</f>
        <v/>
      </c>
      <c r="G21" s="1" t="str">
        <f>IF($D21="","",VLOOKUP($D21,捏造NPC!$A:$AB,14,0))</f>
        <v/>
      </c>
      <c r="H21" s="2" t="str">
        <f>IF($D21="","",(90-VLOOKUP($D21,捏造NPC!$A:$AB,15,0))*3.1415926/180)</f>
        <v/>
      </c>
      <c r="I21" s="1" t="str">
        <f t="shared" si="0"/>
        <v/>
      </c>
      <c r="J21" s="1" t="str">
        <f t="shared" si="1"/>
        <v/>
      </c>
      <c r="K21" s="1" t="str">
        <f t="shared" si="2"/>
        <v/>
      </c>
      <c r="L21" s="1" t="str">
        <f t="shared" si="3"/>
        <v/>
      </c>
      <c r="M21" s="1" t="str">
        <f t="shared" si="4"/>
        <v/>
      </c>
    </row>
    <row r="22" spans="1:13">
      <c r="A22" t="str">
        <f>IF($D22="","",捏造NPC!$J$2+ROW()-5)</f>
        <v/>
      </c>
      <c r="B22" s="1" t="str">
        <f>IF($D22="","",VLOOKUP($D22,捏造NPC!$A:$AB,5,0))</f>
        <v/>
      </c>
      <c r="C22" s="1" t="str">
        <f>IF($D22="","",VLOOKUP($D22,捏造NPC!$A:$AB,11,0))</f>
        <v/>
      </c>
      <c r="E22" s="1" t="str">
        <f>IF($D22="","",VLOOKUP($D22,捏造NPC!$A:$AB,12,0))</f>
        <v/>
      </c>
      <c r="F22" s="1" t="str">
        <f>IF($D22="","",VLOOKUP($D22,捏造NPC!$A:$AB,13,0))</f>
        <v/>
      </c>
      <c r="G22" s="1" t="str">
        <f>IF($D22="","",VLOOKUP($D22,捏造NPC!$A:$AB,14,0))</f>
        <v/>
      </c>
      <c r="H22" s="2" t="str">
        <f>IF($D22="","",(90-VLOOKUP($D22,捏造NPC!$A:$AB,15,0))*3.1415926/180)</f>
        <v/>
      </c>
      <c r="I22" s="1" t="str">
        <f t="shared" si="0"/>
        <v/>
      </c>
      <c r="J22" s="1" t="str">
        <f t="shared" si="1"/>
        <v/>
      </c>
      <c r="K22" s="1" t="str">
        <f t="shared" si="2"/>
        <v/>
      </c>
      <c r="L22" s="1" t="str">
        <f t="shared" si="3"/>
        <v/>
      </c>
      <c r="M22" s="1" t="str">
        <f t="shared" si="4"/>
        <v/>
      </c>
    </row>
    <row r="23" spans="1:13">
      <c r="A23" t="str">
        <f>IF($D23="","",捏造NPC!$J$2+ROW()-5)</f>
        <v/>
      </c>
      <c r="B23" s="1" t="str">
        <f>IF($D23="","",VLOOKUP($D23,捏造NPC!$A:$AB,5,0))</f>
        <v/>
      </c>
      <c r="C23" s="1" t="str">
        <f>IF($D23="","",VLOOKUP($D23,捏造NPC!$A:$AB,11,0))</f>
        <v/>
      </c>
      <c r="E23" s="1" t="str">
        <f>IF($D23="","",VLOOKUP($D23,捏造NPC!$A:$AB,12,0))</f>
        <v/>
      </c>
      <c r="F23" s="1" t="str">
        <f>IF($D23="","",VLOOKUP($D23,捏造NPC!$A:$AB,13,0))</f>
        <v/>
      </c>
      <c r="G23" s="1" t="str">
        <f>IF($D23="","",VLOOKUP($D23,捏造NPC!$A:$AB,14,0))</f>
        <v/>
      </c>
      <c r="H23" s="2" t="str">
        <f>IF($D23="","",(90-VLOOKUP($D23,捏造NPC!$A:$AB,15,0))*3.1415926/180)</f>
        <v/>
      </c>
      <c r="I23" s="1" t="str">
        <f t="shared" si="0"/>
        <v/>
      </c>
      <c r="J23" s="1" t="str">
        <f t="shared" si="1"/>
        <v/>
      </c>
      <c r="K23" s="1" t="str">
        <f t="shared" si="2"/>
        <v/>
      </c>
      <c r="L23" s="1" t="str">
        <f t="shared" si="3"/>
        <v/>
      </c>
      <c r="M23" s="1" t="str">
        <f t="shared" si="4"/>
        <v/>
      </c>
    </row>
    <row r="24" spans="1:13">
      <c r="A24" t="str">
        <f>IF($D24="","",捏造NPC!$J$2+ROW()-5)</f>
        <v/>
      </c>
      <c r="B24" s="1" t="str">
        <f>IF($D24="","",VLOOKUP($D24,捏造NPC!$A:$AB,5,0))</f>
        <v/>
      </c>
      <c r="C24" s="1" t="str">
        <f>IF($D24="","",VLOOKUP($D24,捏造NPC!$A:$AB,11,0))</f>
        <v/>
      </c>
      <c r="E24" s="1" t="str">
        <f>IF($D24="","",VLOOKUP($D24,捏造NPC!$A:$AB,12,0))</f>
        <v/>
      </c>
      <c r="F24" s="1" t="str">
        <f>IF($D24="","",VLOOKUP($D24,捏造NPC!$A:$AB,13,0))</f>
        <v/>
      </c>
      <c r="G24" s="1" t="str">
        <f>IF($D24="","",VLOOKUP($D24,捏造NPC!$A:$AB,14,0))</f>
        <v/>
      </c>
      <c r="H24" s="2" t="str">
        <f>IF($D24="","",(90-VLOOKUP($D24,捏造NPC!$A:$AB,15,0))*3.1415926/180)</f>
        <v/>
      </c>
      <c r="I24" s="1" t="str">
        <f t="shared" si="0"/>
        <v/>
      </c>
      <c r="J24" s="1" t="str">
        <f t="shared" si="1"/>
        <v/>
      </c>
      <c r="K24" s="1" t="str">
        <f t="shared" si="2"/>
        <v/>
      </c>
      <c r="L24" s="1" t="str">
        <f t="shared" si="3"/>
        <v/>
      </c>
      <c r="M24" s="1" t="str">
        <f t="shared" si="4"/>
        <v/>
      </c>
    </row>
  </sheetData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24"/>
  <sheetViews>
    <sheetView workbookViewId="0">
      <selection activeCell="F5" sqref="F5"/>
    </sheetView>
  </sheetViews>
  <sheetFormatPr defaultColWidth="9" defaultRowHeight="13.5" outlineLevelCol="6"/>
  <cols>
    <col min="2" max="2" width="16" customWidth="1"/>
  </cols>
  <sheetData>
    <row r="1" spans="1:7">
      <c r="A1" s="1" t="s">
        <v>123</v>
      </c>
      <c r="B1" s="1" t="s">
        <v>829</v>
      </c>
      <c r="C1" s="1" t="s">
        <v>616</v>
      </c>
      <c r="D1" s="1" t="s">
        <v>82</v>
      </c>
      <c r="E1" s="1" t="s">
        <v>1079</v>
      </c>
      <c r="F1" s="1" t="s">
        <v>1080</v>
      </c>
      <c r="G1" s="1" t="s">
        <v>1081</v>
      </c>
    </row>
    <row r="2" spans="1:7">
      <c r="A2" s="1" t="s">
        <v>153</v>
      </c>
      <c r="B2" s="1" t="s">
        <v>154</v>
      </c>
      <c r="C2" s="1" t="s">
        <v>153</v>
      </c>
      <c r="D2" s="1" t="s">
        <v>153</v>
      </c>
      <c r="E2" s="1" t="s">
        <v>153</v>
      </c>
      <c r="F2" s="1" t="s">
        <v>155</v>
      </c>
      <c r="G2" s="1" t="s">
        <v>153</v>
      </c>
    </row>
    <row r="3" spans="1:7">
      <c r="A3" s="1" t="s">
        <v>936</v>
      </c>
      <c r="B3" s="1"/>
      <c r="C3" s="1"/>
      <c r="D3" s="1"/>
      <c r="E3" s="1"/>
      <c r="F3" s="1" t="s">
        <v>279</v>
      </c>
      <c r="G3" s="1"/>
    </row>
    <row r="4" spans="1:7">
      <c r="A4" s="1" t="s">
        <v>1082</v>
      </c>
      <c r="B4" s="1" t="s">
        <v>938</v>
      </c>
      <c r="C4" s="1" t="s">
        <v>1083</v>
      </c>
      <c r="D4" s="1" t="s">
        <v>1084</v>
      </c>
      <c r="E4" s="1" t="s">
        <v>1085</v>
      </c>
      <c r="F4" s="1" t="s">
        <v>1086</v>
      </c>
      <c r="G4" s="1" t="s">
        <v>1087</v>
      </c>
    </row>
    <row r="5" spans="1:7">
      <c r="A5" s="1">
        <f>NpcAttr!A5</f>
        <v>1000</v>
      </c>
      <c r="B5" s="1" t="str">
        <f>NpcAttr!B5</f>
        <v>资12-军衔-夏风</v>
      </c>
      <c r="C5" s="1">
        <f>IF($A5="","",IF(捏造NPC!AB5=7,3,2))</f>
        <v>2</v>
      </c>
      <c r="D5" s="1">
        <f>IF($A5="","",捏造NPC!D5)</f>
        <v>111</v>
      </c>
      <c r="E5" s="1">
        <f>IF($A5="","",0)</f>
        <v>0</v>
      </c>
      <c r="F5" s="1">
        <f>IF($A5="","",0)</f>
        <v>0</v>
      </c>
      <c r="G5" s="1">
        <f>IF($A5="","",-1)</f>
        <v>-1</v>
      </c>
    </row>
    <row r="6" spans="1:7">
      <c r="A6" s="1">
        <f>NpcAttr!A6</f>
        <v>1001</v>
      </c>
      <c r="B6" s="1" t="str">
        <f>NpcAttr!B6</f>
        <v>资13-军衔-翼楠</v>
      </c>
      <c r="C6" s="1">
        <f>IF($A6="","",IF(捏造NPC!AB6=7,3,2))</f>
        <v>2</v>
      </c>
      <c r="D6" s="1">
        <f>IF($A6="","",捏造NPC!D6)</f>
        <v>112</v>
      </c>
      <c r="E6" s="1">
        <f t="shared" ref="E6:E24" si="0">IF($A6="","",0)</f>
        <v>0</v>
      </c>
      <c r="F6" s="1">
        <f t="shared" ref="F6:F24" si="1">IF($A6="","",0)</f>
        <v>0</v>
      </c>
      <c r="G6" s="1">
        <f t="shared" ref="G6:G24" si="2">IF($A6="","",-1)</f>
        <v>-1</v>
      </c>
    </row>
    <row r="7" spans="1:7">
      <c r="A7" s="1">
        <f>NpcAttr!A7</f>
        <v>1002</v>
      </c>
      <c r="B7" s="1" t="str">
        <f>NpcAttr!B7</f>
        <v>资14-军衔-云隐</v>
      </c>
      <c r="C7" s="1">
        <f>IF($A7="","",IF(捏造NPC!AB7=7,3,2))</f>
        <v>2</v>
      </c>
      <c r="D7" s="1">
        <f>IF($A7="","",捏造NPC!D7)</f>
        <v>113</v>
      </c>
      <c r="E7" s="1">
        <f t="shared" si="0"/>
        <v>0</v>
      </c>
      <c r="F7" s="1">
        <f t="shared" si="1"/>
        <v>0</v>
      </c>
      <c r="G7" s="1">
        <f t="shared" si="2"/>
        <v>-1</v>
      </c>
    </row>
    <row r="8" spans="1:7">
      <c r="A8" s="1" t="str">
        <f>NpcAttr!A8</f>
        <v/>
      </c>
      <c r="B8" s="1" t="str">
        <f>NpcAttr!B8</f>
        <v/>
      </c>
      <c r="C8" s="1" t="str">
        <f>IF($A8="","",IF(捏造NPC!AB8=7,3,2))</f>
        <v/>
      </c>
      <c r="D8" s="1" t="str">
        <f>IF($A8="","",捏造NPC!D8)</f>
        <v/>
      </c>
      <c r="E8" s="1" t="str">
        <f t="shared" si="0"/>
        <v/>
      </c>
      <c r="F8" s="1" t="str">
        <f t="shared" si="1"/>
        <v/>
      </c>
      <c r="G8" s="1" t="str">
        <f t="shared" si="2"/>
        <v/>
      </c>
    </row>
    <row r="9" spans="1:7">
      <c r="A9" s="1" t="str">
        <f>NpcAttr!A9</f>
        <v/>
      </c>
      <c r="B9" s="1" t="str">
        <f>NpcAttr!B9</f>
        <v/>
      </c>
      <c r="C9" s="1" t="str">
        <f>IF($A9="","",IF(捏造NPC!AB9=7,3,2))</f>
        <v/>
      </c>
      <c r="D9" s="1" t="str">
        <f>IF($A9="","",捏造NPC!D9)</f>
        <v/>
      </c>
      <c r="E9" s="1" t="str">
        <f t="shared" si="0"/>
        <v/>
      </c>
      <c r="F9" s="1" t="str">
        <f t="shared" si="1"/>
        <v/>
      </c>
      <c r="G9" s="1" t="str">
        <f t="shared" si="2"/>
        <v/>
      </c>
    </row>
    <row r="10" spans="1:7">
      <c r="A10" s="1" t="str">
        <f>NpcAttr!A10</f>
        <v/>
      </c>
      <c r="B10" s="1" t="str">
        <f>NpcAttr!B10</f>
        <v/>
      </c>
      <c r="C10" s="1" t="str">
        <f>IF($A10="","",IF(捏造NPC!AB10=7,3,2))</f>
        <v/>
      </c>
      <c r="D10" s="1" t="str">
        <f>IF($A10="","",捏造NPC!D10)</f>
        <v/>
      </c>
      <c r="E10" s="1" t="str">
        <f t="shared" si="0"/>
        <v/>
      </c>
      <c r="F10" s="1" t="str">
        <f t="shared" si="1"/>
        <v/>
      </c>
      <c r="G10" s="1" t="str">
        <f t="shared" si="2"/>
        <v/>
      </c>
    </row>
    <row r="11" spans="1:7">
      <c r="A11" s="1" t="str">
        <f>NpcAttr!A11</f>
        <v/>
      </c>
      <c r="B11" s="1" t="str">
        <f>NpcAttr!B11</f>
        <v/>
      </c>
      <c r="C11" s="1" t="str">
        <f>IF($A11="","",IF(捏造NPC!AB11=7,3,2))</f>
        <v/>
      </c>
      <c r="D11" s="1" t="str">
        <f>IF($A11="","",捏造NPC!D11)</f>
        <v/>
      </c>
      <c r="E11" s="1" t="str">
        <f t="shared" si="0"/>
        <v/>
      </c>
      <c r="F11" s="1" t="str">
        <f t="shared" si="1"/>
        <v/>
      </c>
      <c r="G11" s="1" t="str">
        <f t="shared" si="2"/>
        <v/>
      </c>
    </row>
    <row r="12" spans="1:7">
      <c r="A12" s="1" t="str">
        <f>NpcAttr!A12</f>
        <v/>
      </c>
      <c r="B12" s="1" t="str">
        <f>NpcAttr!B12</f>
        <v/>
      </c>
      <c r="C12" s="1" t="str">
        <f>IF($A12="","",IF(捏造NPC!AB12=7,3,2))</f>
        <v/>
      </c>
      <c r="D12" s="1" t="str">
        <f>IF($A12="","",捏造NPC!D12)</f>
        <v/>
      </c>
      <c r="E12" s="1" t="str">
        <f t="shared" si="0"/>
        <v/>
      </c>
      <c r="F12" s="1" t="str">
        <f t="shared" si="1"/>
        <v/>
      </c>
      <c r="G12" s="1" t="str">
        <f t="shared" si="2"/>
        <v/>
      </c>
    </row>
    <row r="13" spans="1:7">
      <c r="A13" s="1" t="str">
        <f>NpcAttr!A13</f>
        <v/>
      </c>
      <c r="B13" s="1" t="str">
        <f>NpcAttr!B13</f>
        <v/>
      </c>
      <c r="C13" s="1" t="str">
        <f>IF($A13="","",IF(捏造NPC!AB13=7,3,2))</f>
        <v/>
      </c>
      <c r="D13" s="1" t="str">
        <f>IF($A13="","",捏造NPC!D13)</f>
        <v/>
      </c>
      <c r="E13" s="1" t="str">
        <f t="shared" si="0"/>
        <v/>
      </c>
      <c r="F13" s="1" t="str">
        <f t="shared" si="1"/>
        <v/>
      </c>
      <c r="G13" s="1" t="str">
        <f t="shared" si="2"/>
        <v/>
      </c>
    </row>
    <row r="14" spans="1:7">
      <c r="A14" s="1" t="str">
        <f>NpcAttr!A14</f>
        <v/>
      </c>
      <c r="B14" s="1" t="str">
        <f>NpcAttr!B14</f>
        <v/>
      </c>
      <c r="C14" s="1" t="str">
        <f>IF($A14="","",IF(捏造NPC!AB14=7,3,2))</f>
        <v/>
      </c>
      <c r="D14" s="1" t="str">
        <f>IF($A14="","",捏造NPC!D14)</f>
        <v/>
      </c>
      <c r="E14" s="1" t="str">
        <f t="shared" si="0"/>
        <v/>
      </c>
      <c r="F14" s="1" t="str">
        <f t="shared" si="1"/>
        <v/>
      </c>
      <c r="G14" s="1" t="str">
        <f t="shared" si="2"/>
        <v/>
      </c>
    </row>
    <row r="15" spans="1:7">
      <c r="A15" s="1" t="str">
        <f>NpcAttr!A15</f>
        <v/>
      </c>
      <c r="B15" s="1" t="str">
        <f>NpcAttr!B15</f>
        <v/>
      </c>
      <c r="C15" s="1" t="str">
        <f>IF($A15="","",IF(捏造NPC!AB15=7,3,2))</f>
        <v/>
      </c>
      <c r="D15" s="1" t="str">
        <f>IF($A15="","",捏造NPC!D15)</f>
        <v/>
      </c>
      <c r="E15" s="1" t="str">
        <f t="shared" si="0"/>
        <v/>
      </c>
      <c r="F15" s="1" t="str">
        <f t="shared" si="1"/>
        <v/>
      </c>
      <c r="G15" s="1" t="str">
        <f t="shared" si="2"/>
        <v/>
      </c>
    </row>
    <row r="16" spans="1:7">
      <c r="A16" s="1" t="str">
        <f>NpcAttr!A16</f>
        <v/>
      </c>
      <c r="B16" s="1" t="str">
        <f>NpcAttr!B16</f>
        <v/>
      </c>
      <c r="C16" s="1" t="str">
        <f>IF($A16="","",IF(捏造NPC!AB16=7,3,2))</f>
        <v/>
      </c>
      <c r="D16" s="1" t="str">
        <f>IF($A16="","",捏造NPC!D16)</f>
        <v/>
      </c>
      <c r="E16" s="1" t="str">
        <f t="shared" si="0"/>
        <v/>
      </c>
      <c r="F16" s="1" t="str">
        <f t="shared" si="1"/>
        <v/>
      </c>
      <c r="G16" s="1" t="str">
        <f t="shared" si="2"/>
        <v/>
      </c>
    </row>
    <row r="17" spans="1:7">
      <c r="A17" s="1" t="str">
        <f>NpcAttr!A17</f>
        <v/>
      </c>
      <c r="B17" s="1" t="str">
        <f>NpcAttr!B17</f>
        <v/>
      </c>
      <c r="C17" s="1" t="str">
        <f>IF($A17="","",IF(捏造NPC!AB17=7,3,2))</f>
        <v/>
      </c>
      <c r="D17" s="1" t="str">
        <f>IF($A17="","",捏造NPC!D17)</f>
        <v/>
      </c>
      <c r="E17" s="1" t="str">
        <f t="shared" si="0"/>
        <v/>
      </c>
      <c r="F17" s="1" t="str">
        <f t="shared" si="1"/>
        <v/>
      </c>
      <c r="G17" s="1" t="str">
        <f t="shared" si="2"/>
        <v/>
      </c>
    </row>
    <row r="18" spans="1:7">
      <c r="A18" s="1" t="str">
        <f>NpcAttr!A18</f>
        <v/>
      </c>
      <c r="B18" s="1" t="str">
        <f>NpcAttr!B18</f>
        <v/>
      </c>
      <c r="C18" s="1" t="str">
        <f>IF($A18="","",IF(捏造NPC!AB18=7,3,2))</f>
        <v/>
      </c>
      <c r="D18" s="1" t="str">
        <f>IF($A18="","",捏造NPC!D18)</f>
        <v/>
      </c>
      <c r="E18" s="1" t="str">
        <f t="shared" si="0"/>
        <v/>
      </c>
      <c r="F18" s="1" t="str">
        <f t="shared" si="1"/>
        <v/>
      </c>
      <c r="G18" s="1" t="str">
        <f t="shared" si="2"/>
        <v/>
      </c>
    </row>
    <row r="19" spans="1:7">
      <c r="A19" s="1" t="str">
        <f>NpcAttr!A19</f>
        <v/>
      </c>
      <c r="B19" s="1" t="str">
        <f>NpcAttr!B19</f>
        <v/>
      </c>
      <c r="C19" s="1" t="str">
        <f>IF($A19="","",IF(捏造NPC!AB19=7,3,2))</f>
        <v/>
      </c>
      <c r="D19" s="1" t="str">
        <f>IF($A19="","",捏造NPC!D19)</f>
        <v/>
      </c>
      <c r="E19" s="1" t="str">
        <f t="shared" si="0"/>
        <v/>
      </c>
      <c r="F19" s="1" t="str">
        <f t="shared" si="1"/>
        <v/>
      </c>
      <c r="G19" s="1" t="str">
        <f t="shared" si="2"/>
        <v/>
      </c>
    </row>
    <row r="20" spans="1:7">
      <c r="A20" s="1" t="str">
        <f>NpcAttr!A20</f>
        <v/>
      </c>
      <c r="B20" s="1" t="str">
        <f>NpcAttr!B20</f>
        <v/>
      </c>
      <c r="C20" s="1" t="str">
        <f>IF($A20="","",IF(捏造NPC!AB20=7,3,2))</f>
        <v/>
      </c>
      <c r="D20" s="1" t="str">
        <f>IF($A20="","",捏造NPC!D20)</f>
        <v/>
      </c>
      <c r="E20" s="1" t="str">
        <f t="shared" si="0"/>
        <v/>
      </c>
      <c r="F20" s="1" t="str">
        <f t="shared" si="1"/>
        <v/>
      </c>
      <c r="G20" s="1" t="str">
        <f t="shared" si="2"/>
        <v/>
      </c>
    </row>
    <row r="21" spans="1:7">
      <c r="A21" s="1" t="str">
        <f>NpcAttr!A21</f>
        <v/>
      </c>
      <c r="B21" s="1" t="str">
        <f>NpcAttr!B21</f>
        <v/>
      </c>
      <c r="C21" s="1" t="str">
        <f>IF($A21="","",IF(捏造NPC!AB21=7,3,2))</f>
        <v/>
      </c>
      <c r="D21" s="1" t="str">
        <f>IF($A21="","",捏造NPC!D21)</f>
        <v/>
      </c>
      <c r="E21" s="1" t="str">
        <f t="shared" si="0"/>
        <v/>
      </c>
      <c r="F21" s="1" t="str">
        <f t="shared" si="1"/>
        <v/>
      </c>
      <c r="G21" s="1" t="str">
        <f t="shared" si="2"/>
        <v/>
      </c>
    </row>
    <row r="22" spans="1:7">
      <c r="A22" s="1" t="str">
        <f>NpcAttr!A22</f>
        <v/>
      </c>
      <c r="B22" s="1" t="str">
        <f>NpcAttr!B22</f>
        <v/>
      </c>
      <c r="C22" s="1" t="str">
        <f>IF($A22="","",IF(捏造NPC!AB22=7,3,2))</f>
        <v/>
      </c>
      <c r="D22" s="1" t="str">
        <f>IF($A22="","",捏造NPC!D22)</f>
        <v/>
      </c>
      <c r="E22" s="1" t="str">
        <f t="shared" si="0"/>
        <v/>
      </c>
      <c r="F22" s="1" t="str">
        <f t="shared" si="1"/>
        <v/>
      </c>
      <c r="G22" s="1" t="str">
        <f t="shared" si="2"/>
        <v/>
      </c>
    </row>
    <row r="23" spans="1:7">
      <c r="A23" s="1" t="str">
        <f>NpcAttr!A23</f>
        <v/>
      </c>
      <c r="B23" s="1" t="str">
        <f>NpcAttr!B23</f>
        <v/>
      </c>
      <c r="C23" s="1" t="str">
        <f>IF($A23="","",IF(捏造NPC!AB23=7,3,2))</f>
        <v/>
      </c>
      <c r="D23" s="1" t="str">
        <f>IF($A23="","",捏造NPC!D23)</f>
        <v/>
      </c>
      <c r="E23" s="1" t="str">
        <f t="shared" si="0"/>
        <v/>
      </c>
      <c r="F23" s="1" t="str">
        <f t="shared" si="1"/>
        <v/>
      </c>
      <c r="G23" s="1" t="str">
        <f t="shared" si="2"/>
        <v/>
      </c>
    </row>
    <row r="24" spans="1:7">
      <c r="A24" s="1" t="str">
        <f>NpcAttr!A24</f>
        <v/>
      </c>
      <c r="B24" s="1" t="str">
        <f>NpcAttr!B24</f>
        <v/>
      </c>
      <c r="C24" s="1" t="str">
        <f>IF($A24="","",IF(捏造NPC!AB24=7,3,2))</f>
        <v/>
      </c>
      <c r="D24" s="1" t="str">
        <f>IF($A24="","",捏造NPC!D24)</f>
        <v/>
      </c>
      <c r="E24" s="1" t="str">
        <f t="shared" si="0"/>
        <v/>
      </c>
      <c r="F24" s="1" t="str">
        <f t="shared" si="1"/>
        <v/>
      </c>
      <c r="G24" s="1" t="str">
        <f t="shared" si="2"/>
        <v/>
      </c>
    </row>
  </sheetData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M25"/>
  <sheetViews>
    <sheetView workbookViewId="0">
      <selection activeCell="B5" sqref="B5"/>
    </sheetView>
  </sheetViews>
  <sheetFormatPr defaultColWidth="9" defaultRowHeight="13.5"/>
  <cols>
    <col min="2" max="2" width="11" customWidth="1"/>
    <col min="4" max="4" width="12.5" customWidth="1"/>
  </cols>
  <sheetData>
    <row r="1" spans="1:39">
      <c r="A1" s="1" t="s">
        <v>123</v>
      </c>
      <c r="B1" s="1" t="s">
        <v>351</v>
      </c>
      <c r="C1" s="1" t="s">
        <v>351</v>
      </c>
      <c r="D1" s="1" t="s">
        <v>1088</v>
      </c>
      <c r="E1" s="1" t="s">
        <v>1089</v>
      </c>
      <c r="F1" s="1" t="s">
        <v>1090</v>
      </c>
      <c r="G1" s="1" t="s">
        <v>1091</v>
      </c>
      <c r="H1" s="1" t="s">
        <v>1092</v>
      </c>
      <c r="I1" s="1" t="s">
        <v>1093</v>
      </c>
      <c r="J1" s="1" t="s">
        <v>1094</v>
      </c>
      <c r="K1" s="1" t="s">
        <v>1095</v>
      </c>
      <c r="L1" s="1" t="s">
        <v>1096</v>
      </c>
      <c r="M1" s="1" t="s">
        <v>1097</v>
      </c>
      <c r="N1" s="1" t="s">
        <v>1098</v>
      </c>
      <c r="O1" s="1" t="s">
        <v>1099</v>
      </c>
      <c r="P1" s="1" t="s">
        <v>1100</v>
      </c>
      <c r="Q1" s="1" t="s">
        <v>1101</v>
      </c>
      <c r="R1" s="1" t="s">
        <v>1102</v>
      </c>
      <c r="S1" s="1" t="s">
        <v>1103</v>
      </c>
      <c r="T1" s="1" t="s">
        <v>1104</v>
      </c>
      <c r="U1" s="1" t="s">
        <v>1105</v>
      </c>
      <c r="V1" s="1" t="s">
        <v>1106</v>
      </c>
      <c r="W1" s="1" t="s">
        <v>1107</v>
      </c>
      <c r="X1" s="1" t="s">
        <v>1108</v>
      </c>
      <c r="Y1" s="1" t="s">
        <v>1109</v>
      </c>
      <c r="Z1" s="1" t="s">
        <v>1110</v>
      </c>
      <c r="AA1" s="1" t="s">
        <v>1111</v>
      </c>
      <c r="AB1" s="1" t="s">
        <v>1112</v>
      </c>
      <c r="AC1" s="1" t="s">
        <v>1113</v>
      </c>
      <c r="AD1" s="1" t="s">
        <v>1114</v>
      </c>
      <c r="AE1" s="1" t="s">
        <v>1115</v>
      </c>
      <c r="AF1" s="1" t="s">
        <v>1116</v>
      </c>
      <c r="AG1" s="1" t="s">
        <v>1117</v>
      </c>
      <c r="AH1" s="1" t="s">
        <v>1118</v>
      </c>
      <c r="AI1" s="1" t="s">
        <v>1119</v>
      </c>
      <c r="AJ1" s="1" t="s">
        <v>1120</v>
      </c>
      <c r="AK1" s="1" t="s">
        <v>1121</v>
      </c>
      <c r="AL1" s="1" t="s">
        <v>1122</v>
      </c>
      <c r="AM1" s="1" t="s">
        <v>1123</v>
      </c>
    </row>
    <row r="2" spans="1:39">
      <c r="A2" s="1" t="s">
        <v>153</v>
      </c>
      <c r="B2" s="1" t="s">
        <v>154</v>
      </c>
      <c r="C2" s="1" t="s">
        <v>154</v>
      </c>
      <c r="D2" s="1" t="s">
        <v>154</v>
      </c>
      <c r="E2" s="1" t="s">
        <v>154</v>
      </c>
      <c r="F2" s="1" t="s">
        <v>153</v>
      </c>
      <c r="G2" s="1" t="s">
        <v>153</v>
      </c>
      <c r="H2" s="1" t="s">
        <v>155</v>
      </c>
      <c r="I2" s="1" t="s">
        <v>155</v>
      </c>
      <c r="J2" s="1" t="s">
        <v>155</v>
      </c>
      <c r="K2" s="1" t="s">
        <v>155</v>
      </c>
      <c r="L2" s="1" t="s">
        <v>721</v>
      </c>
      <c r="M2" s="1" t="s">
        <v>721</v>
      </c>
      <c r="N2" s="1" t="s">
        <v>721</v>
      </c>
      <c r="O2" s="1" t="s">
        <v>153</v>
      </c>
      <c r="P2" s="1" t="s">
        <v>153</v>
      </c>
      <c r="Q2" s="1" t="s">
        <v>153</v>
      </c>
      <c r="R2" s="1" t="s">
        <v>153</v>
      </c>
      <c r="S2" s="1" t="s">
        <v>153</v>
      </c>
      <c r="T2" s="1" t="s">
        <v>153</v>
      </c>
      <c r="U2" s="1" t="s">
        <v>153</v>
      </c>
      <c r="V2" s="1" t="s">
        <v>153</v>
      </c>
      <c r="W2" s="1" t="s">
        <v>153</v>
      </c>
      <c r="X2" s="1" t="s">
        <v>153</v>
      </c>
      <c r="Y2" s="1" t="s">
        <v>155</v>
      </c>
      <c r="Z2" s="1" t="s">
        <v>155</v>
      </c>
      <c r="AA2" s="1" t="s">
        <v>155</v>
      </c>
      <c r="AB2" s="1" t="s">
        <v>155</v>
      </c>
      <c r="AC2" s="1" t="s">
        <v>155</v>
      </c>
      <c r="AD2" s="1" t="s">
        <v>155</v>
      </c>
      <c r="AE2" s="1" t="s">
        <v>153</v>
      </c>
      <c r="AF2" s="1" t="s">
        <v>153</v>
      </c>
      <c r="AG2" s="1" t="s">
        <v>155</v>
      </c>
      <c r="AH2" s="1" t="s">
        <v>155</v>
      </c>
      <c r="AI2" s="1" t="s">
        <v>155</v>
      </c>
      <c r="AJ2" s="1" t="s">
        <v>153</v>
      </c>
      <c r="AK2" s="1" t="s">
        <v>155</v>
      </c>
      <c r="AL2" s="1" t="s">
        <v>155</v>
      </c>
      <c r="AM2" s="1" t="s">
        <v>155</v>
      </c>
    </row>
    <row r="3" spans="1:39">
      <c r="A3" s="1" t="s">
        <v>156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>
      <c r="A4" s="1" t="s">
        <v>1082</v>
      </c>
      <c r="B4" s="1" t="s">
        <v>938</v>
      </c>
      <c r="C4" s="1" t="s">
        <v>939</v>
      </c>
      <c r="D4" s="1" t="s">
        <v>1124</v>
      </c>
      <c r="E4" s="1" t="s">
        <v>87</v>
      </c>
      <c r="F4" s="1" t="s">
        <v>1125</v>
      </c>
      <c r="G4" s="1" t="s">
        <v>1126</v>
      </c>
      <c r="H4" s="1" t="s">
        <v>1127</v>
      </c>
      <c r="I4" s="1" t="s">
        <v>1128</v>
      </c>
      <c r="J4" s="1" t="s">
        <v>1129</v>
      </c>
      <c r="K4" s="1" t="s">
        <v>1130</v>
      </c>
      <c r="L4" s="1" t="s">
        <v>1131</v>
      </c>
      <c r="M4" s="1" t="s">
        <v>1132</v>
      </c>
      <c r="N4" s="1" t="s">
        <v>1133</v>
      </c>
      <c r="O4" s="1" t="s">
        <v>1134</v>
      </c>
      <c r="P4" s="1" t="s">
        <v>1135</v>
      </c>
      <c r="Q4" s="1" t="s">
        <v>1136</v>
      </c>
      <c r="R4" s="1" t="s">
        <v>1137</v>
      </c>
      <c r="S4" s="1" t="s">
        <v>1138</v>
      </c>
      <c r="T4" s="1" t="s">
        <v>1139</v>
      </c>
      <c r="U4" s="1" t="s">
        <v>1140</v>
      </c>
      <c r="V4" s="1" t="s">
        <v>1141</v>
      </c>
      <c r="W4" s="1" t="s">
        <v>1142</v>
      </c>
      <c r="X4" s="1" t="s">
        <v>1143</v>
      </c>
      <c r="Y4" s="1" t="s">
        <v>1144</v>
      </c>
      <c r="Z4" s="1" t="s">
        <v>1145</v>
      </c>
      <c r="AA4" s="1" t="s">
        <v>1146</v>
      </c>
      <c r="AB4" s="1" t="s">
        <v>1147</v>
      </c>
      <c r="AC4" s="1" t="s">
        <v>1148</v>
      </c>
      <c r="AD4" s="1" t="s">
        <v>1149</v>
      </c>
      <c r="AE4" s="1" t="s">
        <v>1150</v>
      </c>
      <c r="AF4" s="1" t="s">
        <v>1151</v>
      </c>
      <c r="AG4" s="1" t="s">
        <v>1152</v>
      </c>
      <c r="AH4" s="1" t="s">
        <v>1153</v>
      </c>
      <c r="AI4" s="1" t="s">
        <v>1154</v>
      </c>
      <c r="AJ4" s="1" t="s">
        <v>1155</v>
      </c>
      <c r="AK4" s="1" t="s">
        <v>1156</v>
      </c>
      <c r="AL4" s="1" t="s">
        <v>1157</v>
      </c>
      <c r="AM4" s="1" t="s">
        <v>1158</v>
      </c>
    </row>
    <row r="5" spans="1:39">
      <c r="A5" s="1">
        <f>IF(捏造NPC!D5="","",捏造NPC!D5)</f>
        <v>111</v>
      </c>
      <c r="B5" s="1" t="str">
        <f>IF(捏造NPC!E5="","",捏造NPC!E5)</f>
        <v>资12-军衔-夏风</v>
      </c>
      <c r="C5" s="1" t="str">
        <f>IF(捏造NPC!F5="","",捏造NPC!F5)</f>
        <v>夏风</v>
      </c>
      <c r="D5" s="1" t="str">
        <f>IF(捏造NPC!H5="","",捏造NPC!H5)</f>
        <v>Zy_yaoshounan_110</v>
      </c>
      <c r="E5" s="1" t="str">
        <f>IF(捏造NPC!I5="","",捏造NPC!I5)</f>
        <v>Player/Yaoshou/Human</v>
      </c>
      <c r="F5" s="1">
        <f>IF($A5="","",50)</f>
        <v>50</v>
      </c>
      <c r="G5" s="1">
        <f>IF($A5="","",65)</f>
        <v>65</v>
      </c>
      <c r="H5" s="1">
        <f>IF($A5="","",1.6)</f>
        <v>1.6</v>
      </c>
      <c r="I5" s="1">
        <f>IF($A5="","",2)</f>
        <v>2</v>
      </c>
      <c r="J5" s="1">
        <f>IF($A5="","",1)</f>
        <v>1</v>
      </c>
      <c r="K5" s="1">
        <f>IF($A5="","",1)</f>
        <v>1</v>
      </c>
      <c r="L5" s="1">
        <f>IF($A5="","",-1)</f>
        <v>-1</v>
      </c>
      <c r="M5" s="1">
        <f t="shared" ref="M5:S5" si="0">IF($A5="","",-1)</f>
        <v>-1</v>
      </c>
      <c r="N5" s="1">
        <f>IF($A5="","",-1)</f>
        <v>-1</v>
      </c>
      <c r="O5" s="1">
        <f t="shared" si="0"/>
        <v>-1</v>
      </c>
      <c r="P5" s="1">
        <f t="shared" si="0"/>
        <v>-1</v>
      </c>
      <c r="Q5" s="1">
        <f t="shared" si="0"/>
        <v>-1</v>
      </c>
      <c r="R5" s="1">
        <f t="shared" si="0"/>
        <v>-1</v>
      </c>
      <c r="S5" s="1">
        <f t="shared" si="0"/>
        <v>-1</v>
      </c>
      <c r="T5" s="1">
        <f>IF($A5="","",0)</f>
        <v>0</v>
      </c>
      <c r="U5" s="1">
        <f>IF($A5="","",-1)</f>
        <v>-1</v>
      </c>
      <c r="V5" s="1">
        <f>IF($A5="","",40)</f>
        <v>40</v>
      </c>
      <c r="W5" s="1">
        <f>IF($A5="","",2541)</f>
        <v>2541</v>
      </c>
      <c r="X5" s="1">
        <f>IF($A5="","",1)</f>
        <v>1</v>
      </c>
      <c r="Y5" s="1">
        <f>IF($A5="","",-1)</f>
        <v>-1</v>
      </c>
      <c r="Z5" s="1">
        <f>IF($A5="","",0)</f>
        <v>0</v>
      </c>
      <c r="AA5" s="1">
        <f>IF($A5="","",0)</f>
        <v>0</v>
      </c>
      <c r="AB5" s="1">
        <f>IF($A5="","",0)</f>
        <v>0</v>
      </c>
      <c r="AC5" s="1">
        <f>IF($A5="","",0.5)</f>
        <v>0.5</v>
      </c>
      <c r="AD5" s="1">
        <f>IF($A5="","",1.5)</f>
        <v>1.5</v>
      </c>
      <c r="AE5" s="1">
        <f>IF($A5="","",-1)</f>
        <v>-1</v>
      </c>
      <c r="AF5" s="1">
        <f>IF($A5="","",-1)</f>
        <v>-1</v>
      </c>
      <c r="AG5" s="1">
        <f>IF($A5="","",0)</f>
        <v>0</v>
      </c>
      <c r="AH5" s="1">
        <f>IF($A5="","",0)</f>
        <v>0</v>
      </c>
      <c r="AI5" s="1">
        <f>IF($A5="","",0)</f>
        <v>0</v>
      </c>
      <c r="AJ5" s="1">
        <f>IF($A5="","",-1)</f>
        <v>-1</v>
      </c>
      <c r="AK5" s="1">
        <f>IF($A5="","",0)</f>
        <v>0</v>
      </c>
      <c r="AL5" s="1">
        <f>IF($A5="","",98)</f>
        <v>98</v>
      </c>
      <c r="AM5" s="1">
        <f>IF($A5="","",1)</f>
        <v>1</v>
      </c>
    </row>
    <row r="6" spans="1:39">
      <c r="A6" s="1">
        <f>IF(捏造NPC!D6="","",捏造NPC!D6)</f>
        <v>112</v>
      </c>
      <c r="B6" s="1" t="str">
        <f>IF(捏造NPC!E6="","",捏造NPC!E6)</f>
        <v>资13-军衔-翼楠</v>
      </c>
      <c r="C6" s="1" t="str">
        <f>IF(捏造NPC!F6="","",捏造NPC!F6)</f>
        <v>翼楠</v>
      </c>
      <c r="D6" s="1" t="str">
        <f>IF(捏造NPC!H6="","",捏造NPC!H6)</f>
        <v>Zy_yaoshounan_110</v>
      </c>
      <c r="E6" s="1" t="str">
        <f>IF(捏造NPC!I6="","",捏造NPC!I6)</f>
        <v>Player/Yaoshou/Human</v>
      </c>
      <c r="F6" s="1">
        <f t="shared" ref="F6:F24" si="1">IF($A6="","",50)</f>
        <v>50</v>
      </c>
      <c r="G6" s="1">
        <f t="shared" ref="G6:G24" si="2">IF($A6="","",65)</f>
        <v>65</v>
      </c>
      <c r="H6" s="1">
        <f t="shared" ref="H6:H24" si="3">IF($A6="","",1.6)</f>
        <v>1.6</v>
      </c>
      <c r="I6" s="1">
        <f t="shared" ref="I6:I24" si="4">IF($A6="","",2)</f>
        <v>2</v>
      </c>
      <c r="J6" s="1">
        <f t="shared" ref="J6:J24" si="5">IF($A6="","",1)</f>
        <v>1</v>
      </c>
      <c r="K6" s="1">
        <f t="shared" ref="K6:K25" si="6">IF($A6="","",1)</f>
        <v>1</v>
      </c>
      <c r="L6" s="1">
        <f t="shared" ref="L6:L24" si="7">IF($A6="","",-1)</f>
        <v>-1</v>
      </c>
      <c r="M6" s="1">
        <f t="shared" ref="M6:M24" si="8">IF($A6="","",-1)</f>
        <v>-1</v>
      </c>
      <c r="N6" s="1">
        <f t="shared" ref="N6:N24" si="9">IF($A6="","",-1)</f>
        <v>-1</v>
      </c>
      <c r="O6" s="1">
        <f t="shared" ref="O6:O24" si="10">IF($A6="","",-1)</f>
        <v>-1</v>
      </c>
      <c r="P6" s="1">
        <f t="shared" ref="P6:P24" si="11">IF($A6="","",-1)</f>
        <v>-1</v>
      </c>
      <c r="Q6" s="1">
        <f t="shared" ref="Q6:Q24" si="12">IF($A6="","",-1)</f>
        <v>-1</v>
      </c>
      <c r="R6" s="1">
        <f t="shared" ref="R6:R24" si="13">IF($A6="","",-1)</f>
        <v>-1</v>
      </c>
      <c r="S6" s="1">
        <f t="shared" ref="S6:S24" si="14">IF($A6="","",-1)</f>
        <v>-1</v>
      </c>
      <c r="T6" s="1">
        <f t="shared" ref="T6:T24" si="15">IF($A6="","",0)</f>
        <v>0</v>
      </c>
      <c r="U6" s="1">
        <f t="shared" ref="U6:U24" si="16">IF($A6="","",-1)</f>
        <v>-1</v>
      </c>
      <c r="V6" s="1">
        <f t="shared" ref="V6:V24" si="17">IF($A6="","",40)</f>
        <v>40</v>
      </c>
      <c r="W6" s="1">
        <f t="shared" ref="W6:W24" si="18">IF($A6="","",2541)</f>
        <v>2541</v>
      </c>
      <c r="X6" s="1">
        <f t="shared" ref="X6:X24" si="19">IF($A6="","",1)</f>
        <v>1</v>
      </c>
      <c r="Y6" s="1">
        <f t="shared" ref="Y6:Y24" si="20">IF($A6="","",-1)</f>
        <v>-1</v>
      </c>
      <c r="Z6" s="1">
        <f t="shared" ref="Z6:Z25" si="21">IF($A6="","",0)</f>
        <v>0</v>
      </c>
      <c r="AA6" s="1">
        <f t="shared" ref="AA6:AA25" si="22">IF($A6="","",0)</f>
        <v>0</v>
      </c>
      <c r="AB6" s="1">
        <f t="shared" ref="AB6:AB25" si="23">IF($A6="","",0)</f>
        <v>0</v>
      </c>
      <c r="AC6" s="1">
        <f t="shared" ref="AC6:AC24" si="24">IF($A6="","",0.5)</f>
        <v>0.5</v>
      </c>
      <c r="AD6" s="1">
        <f t="shared" ref="AD6:AD24" si="25">IF($A6="","",1.5)</f>
        <v>1.5</v>
      </c>
      <c r="AE6" s="1">
        <f t="shared" ref="AE6:AE24" si="26">IF($A6="","",-1)</f>
        <v>-1</v>
      </c>
      <c r="AF6" s="1">
        <f t="shared" ref="AF6:AF24" si="27">IF($A6="","",-1)</f>
        <v>-1</v>
      </c>
      <c r="AG6" s="1">
        <f t="shared" ref="AG6:AG24" si="28">IF($A6="","",0)</f>
        <v>0</v>
      </c>
      <c r="AH6" s="1">
        <f t="shared" ref="AH6:AH24" si="29">IF($A6="","",0)</f>
        <v>0</v>
      </c>
      <c r="AI6" s="1">
        <f t="shared" ref="AI6:AI24" si="30">IF($A6="","",0)</f>
        <v>0</v>
      </c>
      <c r="AJ6" s="1">
        <f t="shared" ref="AJ6:AJ24" si="31">IF($A6="","",-1)</f>
        <v>-1</v>
      </c>
      <c r="AK6" s="1">
        <f t="shared" ref="AK6:AK24" si="32">IF($A6="","",0)</f>
        <v>0</v>
      </c>
      <c r="AL6" s="1">
        <f t="shared" ref="AL6:AL24" si="33">IF($A6="","",98)</f>
        <v>98</v>
      </c>
      <c r="AM6" s="1">
        <f t="shared" ref="AM6:AM24" si="34">IF($A6="","",1)</f>
        <v>1</v>
      </c>
    </row>
    <row r="7" spans="1:39">
      <c r="A7" s="1">
        <f>IF(捏造NPC!D7="","",捏造NPC!D7)</f>
        <v>113</v>
      </c>
      <c r="B7" s="1" t="str">
        <f>IF(捏造NPC!E7="","",捏造NPC!E7)</f>
        <v>资14-军衔-云隐</v>
      </c>
      <c r="C7" s="1" t="str">
        <f>IF(捏造NPC!F7="","",捏造NPC!F7)</f>
        <v>云隐</v>
      </c>
      <c r="D7" s="1" t="str">
        <f>IF(捏造NPC!H7="","",捏造NPC!H7)</f>
        <v>Zy_yaoshounan_110</v>
      </c>
      <c r="E7" s="1" t="str">
        <f>IF(捏造NPC!I7="","",捏造NPC!I7)</f>
        <v>Player/Yaoshou/Human</v>
      </c>
      <c r="F7" s="1">
        <f t="shared" si="1"/>
        <v>50</v>
      </c>
      <c r="G7" s="1">
        <f t="shared" si="2"/>
        <v>65</v>
      </c>
      <c r="H7" s="1">
        <f t="shared" si="3"/>
        <v>1.6</v>
      </c>
      <c r="I7" s="1">
        <f t="shared" si="4"/>
        <v>2</v>
      </c>
      <c r="J7" s="1">
        <f t="shared" si="5"/>
        <v>1</v>
      </c>
      <c r="K7" s="1">
        <f t="shared" si="6"/>
        <v>1</v>
      </c>
      <c r="L7" s="1">
        <f t="shared" si="7"/>
        <v>-1</v>
      </c>
      <c r="M7" s="1">
        <f t="shared" si="8"/>
        <v>-1</v>
      </c>
      <c r="N7" s="1">
        <f t="shared" si="9"/>
        <v>-1</v>
      </c>
      <c r="O7" s="1">
        <f t="shared" si="10"/>
        <v>-1</v>
      </c>
      <c r="P7" s="1">
        <f t="shared" si="11"/>
        <v>-1</v>
      </c>
      <c r="Q7" s="1">
        <f t="shared" si="12"/>
        <v>-1</v>
      </c>
      <c r="R7" s="1">
        <f t="shared" si="13"/>
        <v>-1</v>
      </c>
      <c r="S7" s="1">
        <f t="shared" si="14"/>
        <v>-1</v>
      </c>
      <c r="T7" s="1">
        <f t="shared" si="15"/>
        <v>0</v>
      </c>
      <c r="U7" s="1">
        <f t="shared" si="16"/>
        <v>-1</v>
      </c>
      <c r="V7" s="1">
        <f t="shared" si="17"/>
        <v>40</v>
      </c>
      <c r="W7" s="1">
        <f t="shared" si="18"/>
        <v>2541</v>
      </c>
      <c r="X7" s="1">
        <f t="shared" si="19"/>
        <v>1</v>
      </c>
      <c r="Y7" s="1">
        <f t="shared" si="20"/>
        <v>-1</v>
      </c>
      <c r="Z7" s="1">
        <f t="shared" si="21"/>
        <v>0</v>
      </c>
      <c r="AA7" s="1">
        <f t="shared" si="22"/>
        <v>0</v>
      </c>
      <c r="AB7" s="1">
        <f t="shared" si="23"/>
        <v>0</v>
      </c>
      <c r="AC7" s="1">
        <f t="shared" si="24"/>
        <v>0.5</v>
      </c>
      <c r="AD7" s="1">
        <f t="shared" si="25"/>
        <v>1.5</v>
      </c>
      <c r="AE7" s="1">
        <f t="shared" si="26"/>
        <v>-1</v>
      </c>
      <c r="AF7" s="1">
        <f t="shared" si="27"/>
        <v>-1</v>
      </c>
      <c r="AG7" s="1">
        <f t="shared" si="28"/>
        <v>0</v>
      </c>
      <c r="AH7" s="1">
        <f t="shared" si="29"/>
        <v>0</v>
      </c>
      <c r="AI7" s="1">
        <f t="shared" si="30"/>
        <v>0</v>
      </c>
      <c r="AJ7" s="1">
        <f t="shared" si="31"/>
        <v>-1</v>
      </c>
      <c r="AK7" s="1">
        <f t="shared" si="32"/>
        <v>0</v>
      </c>
      <c r="AL7" s="1">
        <f t="shared" si="33"/>
        <v>98</v>
      </c>
      <c r="AM7" s="1">
        <f t="shared" si="34"/>
        <v>1</v>
      </c>
    </row>
    <row r="8" spans="1:39">
      <c r="A8" s="1" t="str">
        <f>IF(捏造NPC!D8="","",捏造NPC!D8)</f>
        <v/>
      </c>
      <c r="B8" s="1" t="str">
        <f>IF(捏造NPC!E8="","",捏造NPC!E8)</f>
        <v/>
      </c>
      <c r="C8" s="1" t="str">
        <f>IF(捏造NPC!F8="","",捏造NPC!F8)</f>
        <v/>
      </c>
      <c r="D8" s="1" t="str">
        <f>IF(捏造NPC!H8="","",捏造NPC!H8)</f>
        <v/>
      </c>
      <c r="E8" s="1" t="str">
        <f>IF(捏造NPC!I8="","",捏造NPC!I8)</f>
        <v/>
      </c>
      <c r="F8" s="1" t="str">
        <f t="shared" si="1"/>
        <v/>
      </c>
      <c r="G8" s="1" t="str">
        <f t="shared" si="2"/>
        <v/>
      </c>
      <c r="H8" s="1" t="str">
        <f t="shared" si="3"/>
        <v/>
      </c>
      <c r="I8" s="1" t="str">
        <f t="shared" si="4"/>
        <v/>
      </c>
      <c r="J8" s="1" t="str">
        <f t="shared" si="5"/>
        <v/>
      </c>
      <c r="K8" s="1" t="str">
        <f t="shared" si="6"/>
        <v/>
      </c>
      <c r="L8" s="1" t="str">
        <f t="shared" si="7"/>
        <v/>
      </c>
      <c r="M8" s="1" t="str">
        <f t="shared" si="8"/>
        <v/>
      </c>
      <c r="N8" s="1" t="str">
        <f t="shared" si="9"/>
        <v/>
      </c>
      <c r="O8" s="1" t="str">
        <f t="shared" si="10"/>
        <v/>
      </c>
      <c r="P8" s="1" t="str">
        <f t="shared" si="11"/>
        <v/>
      </c>
      <c r="Q8" s="1" t="str">
        <f t="shared" si="12"/>
        <v/>
      </c>
      <c r="R8" s="1" t="str">
        <f t="shared" si="13"/>
        <v/>
      </c>
      <c r="S8" s="1" t="str">
        <f t="shared" si="14"/>
        <v/>
      </c>
      <c r="T8" s="1" t="str">
        <f t="shared" si="15"/>
        <v/>
      </c>
      <c r="U8" s="1" t="str">
        <f t="shared" si="16"/>
        <v/>
      </c>
      <c r="V8" s="1" t="str">
        <f t="shared" si="17"/>
        <v/>
      </c>
      <c r="W8" s="1" t="str">
        <f t="shared" si="18"/>
        <v/>
      </c>
      <c r="X8" s="1" t="str">
        <f t="shared" si="19"/>
        <v/>
      </c>
      <c r="Y8" s="1" t="str">
        <f t="shared" si="20"/>
        <v/>
      </c>
      <c r="Z8" s="1" t="str">
        <f t="shared" si="21"/>
        <v/>
      </c>
      <c r="AA8" s="1" t="str">
        <f t="shared" si="22"/>
        <v/>
      </c>
      <c r="AB8" s="1" t="str">
        <f t="shared" si="23"/>
        <v/>
      </c>
      <c r="AC8" s="1" t="str">
        <f t="shared" si="24"/>
        <v/>
      </c>
      <c r="AD8" s="1" t="str">
        <f t="shared" si="25"/>
        <v/>
      </c>
      <c r="AE8" s="1" t="str">
        <f t="shared" si="26"/>
        <v/>
      </c>
      <c r="AF8" s="1" t="str">
        <f t="shared" si="27"/>
        <v/>
      </c>
      <c r="AG8" s="1" t="str">
        <f t="shared" si="28"/>
        <v/>
      </c>
      <c r="AH8" s="1" t="str">
        <f t="shared" si="29"/>
        <v/>
      </c>
      <c r="AI8" s="1" t="str">
        <f t="shared" si="30"/>
        <v/>
      </c>
      <c r="AJ8" s="1" t="str">
        <f t="shared" si="31"/>
        <v/>
      </c>
      <c r="AK8" s="1" t="str">
        <f t="shared" si="32"/>
        <v/>
      </c>
      <c r="AL8" s="1" t="str">
        <f t="shared" si="33"/>
        <v/>
      </c>
      <c r="AM8" s="1" t="str">
        <f t="shared" si="34"/>
        <v/>
      </c>
    </row>
    <row r="9" spans="1:39">
      <c r="A9" s="1" t="str">
        <f>IF(捏造NPC!D9="","",捏造NPC!D9)</f>
        <v/>
      </c>
      <c r="B9" s="1" t="str">
        <f>IF(捏造NPC!E9="","",捏造NPC!E9)</f>
        <v/>
      </c>
      <c r="C9" s="1" t="str">
        <f>IF(捏造NPC!F9="","",捏造NPC!F9)</f>
        <v/>
      </c>
      <c r="D9" s="1" t="str">
        <f>IF(捏造NPC!H9="","",捏造NPC!H9)</f>
        <v/>
      </c>
      <c r="E9" s="1" t="str">
        <f>IF(捏造NPC!I9="","",捏造NPC!I9)</f>
        <v/>
      </c>
      <c r="F9" s="1" t="str">
        <f t="shared" si="1"/>
        <v/>
      </c>
      <c r="G9" s="1" t="str">
        <f t="shared" si="2"/>
        <v/>
      </c>
      <c r="H9" s="1" t="str">
        <f t="shared" si="3"/>
        <v/>
      </c>
      <c r="I9" s="1" t="str">
        <f t="shared" si="4"/>
        <v/>
      </c>
      <c r="J9" s="1" t="str">
        <f t="shared" si="5"/>
        <v/>
      </c>
      <c r="K9" s="1" t="str">
        <f t="shared" si="6"/>
        <v/>
      </c>
      <c r="L9" s="1" t="str">
        <f t="shared" si="7"/>
        <v/>
      </c>
      <c r="M9" s="1" t="str">
        <f t="shared" si="8"/>
        <v/>
      </c>
      <c r="N9" s="1" t="str">
        <f t="shared" si="9"/>
        <v/>
      </c>
      <c r="O9" s="1" t="str">
        <f t="shared" si="10"/>
        <v/>
      </c>
      <c r="P9" s="1" t="str">
        <f t="shared" si="11"/>
        <v/>
      </c>
      <c r="Q9" s="1" t="str">
        <f t="shared" si="12"/>
        <v/>
      </c>
      <c r="R9" s="1" t="str">
        <f t="shared" si="13"/>
        <v/>
      </c>
      <c r="S9" s="1" t="str">
        <f t="shared" si="14"/>
        <v/>
      </c>
      <c r="T9" s="1" t="str">
        <f t="shared" si="15"/>
        <v/>
      </c>
      <c r="U9" s="1" t="str">
        <f t="shared" si="16"/>
        <v/>
      </c>
      <c r="V9" s="1" t="str">
        <f t="shared" si="17"/>
        <v/>
      </c>
      <c r="W9" s="1" t="str">
        <f t="shared" si="18"/>
        <v/>
      </c>
      <c r="X9" s="1" t="str">
        <f t="shared" si="19"/>
        <v/>
      </c>
      <c r="Y9" s="1" t="str">
        <f t="shared" si="20"/>
        <v/>
      </c>
      <c r="Z9" s="1" t="str">
        <f t="shared" si="21"/>
        <v/>
      </c>
      <c r="AA9" s="1" t="str">
        <f t="shared" si="22"/>
        <v/>
      </c>
      <c r="AB9" s="1" t="str">
        <f t="shared" si="23"/>
        <v/>
      </c>
      <c r="AC9" s="1" t="str">
        <f t="shared" si="24"/>
        <v/>
      </c>
      <c r="AD9" s="1" t="str">
        <f t="shared" si="25"/>
        <v/>
      </c>
      <c r="AE9" s="1" t="str">
        <f t="shared" si="26"/>
        <v/>
      </c>
      <c r="AF9" s="1" t="str">
        <f t="shared" si="27"/>
        <v/>
      </c>
      <c r="AG9" s="1" t="str">
        <f t="shared" si="28"/>
        <v/>
      </c>
      <c r="AH9" s="1" t="str">
        <f t="shared" si="29"/>
        <v/>
      </c>
      <c r="AI9" s="1" t="str">
        <f t="shared" si="30"/>
        <v/>
      </c>
      <c r="AJ9" s="1" t="str">
        <f t="shared" si="31"/>
        <v/>
      </c>
      <c r="AK9" s="1" t="str">
        <f t="shared" si="32"/>
        <v/>
      </c>
      <c r="AL9" s="1" t="str">
        <f t="shared" si="33"/>
        <v/>
      </c>
      <c r="AM9" s="1" t="str">
        <f t="shared" si="34"/>
        <v/>
      </c>
    </row>
    <row r="10" spans="1:39">
      <c r="A10" s="1" t="str">
        <f>IF(捏造NPC!D10="","",捏造NPC!D10)</f>
        <v/>
      </c>
      <c r="B10" s="1" t="str">
        <f>IF(捏造NPC!E10="","",捏造NPC!E10)</f>
        <v/>
      </c>
      <c r="C10" s="1" t="str">
        <f>IF(捏造NPC!F10="","",捏造NPC!F10)</f>
        <v/>
      </c>
      <c r="D10" s="1" t="str">
        <f>IF(捏造NPC!H10="","",捏造NPC!H10)</f>
        <v/>
      </c>
      <c r="E10" s="1" t="str">
        <f>IF(捏造NPC!I10="","",捏造NPC!I10)</f>
        <v/>
      </c>
      <c r="F10" s="1" t="str">
        <f t="shared" si="1"/>
        <v/>
      </c>
      <c r="G10" s="1" t="str">
        <f t="shared" si="2"/>
        <v/>
      </c>
      <c r="H10" s="1" t="str">
        <f t="shared" si="3"/>
        <v/>
      </c>
      <c r="I10" s="1" t="str">
        <f t="shared" si="4"/>
        <v/>
      </c>
      <c r="J10" s="1" t="str">
        <f t="shared" si="5"/>
        <v/>
      </c>
      <c r="K10" s="1" t="str">
        <f t="shared" si="6"/>
        <v/>
      </c>
      <c r="L10" s="1" t="str">
        <f t="shared" si="7"/>
        <v/>
      </c>
      <c r="M10" s="1" t="str">
        <f t="shared" si="8"/>
        <v/>
      </c>
      <c r="N10" s="1" t="str">
        <f t="shared" si="9"/>
        <v/>
      </c>
      <c r="O10" s="1" t="str">
        <f t="shared" si="10"/>
        <v/>
      </c>
      <c r="P10" s="1" t="str">
        <f t="shared" si="11"/>
        <v/>
      </c>
      <c r="Q10" s="1" t="str">
        <f t="shared" si="12"/>
        <v/>
      </c>
      <c r="R10" s="1" t="str">
        <f t="shared" si="13"/>
        <v/>
      </c>
      <c r="S10" s="1" t="str">
        <f t="shared" si="14"/>
        <v/>
      </c>
      <c r="T10" s="1" t="str">
        <f t="shared" si="15"/>
        <v/>
      </c>
      <c r="U10" s="1" t="str">
        <f t="shared" si="16"/>
        <v/>
      </c>
      <c r="V10" s="1" t="str">
        <f t="shared" si="17"/>
        <v/>
      </c>
      <c r="W10" s="1" t="str">
        <f t="shared" si="18"/>
        <v/>
      </c>
      <c r="X10" s="1" t="str">
        <f t="shared" si="19"/>
        <v/>
      </c>
      <c r="Y10" s="1" t="str">
        <f t="shared" si="20"/>
        <v/>
      </c>
      <c r="Z10" s="1" t="str">
        <f t="shared" si="21"/>
        <v/>
      </c>
      <c r="AA10" s="1" t="str">
        <f t="shared" si="22"/>
        <v/>
      </c>
      <c r="AB10" s="1" t="str">
        <f t="shared" si="23"/>
        <v/>
      </c>
      <c r="AC10" s="1" t="str">
        <f t="shared" si="24"/>
        <v/>
      </c>
      <c r="AD10" s="1" t="str">
        <f t="shared" si="25"/>
        <v/>
      </c>
      <c r="AE10" s="1" t="str">
        <f t="shared" si="26"/>
        <v/>
      </c>
      <c r="AF10" s="1" t="str">
        <f t="shared" si="27"/>
        <v/>
      </c>
      <c r="AG10" s="1" t="str">
        <f t="shared" si="28"/>
        <v/>
      </c>
      <c r="AH10" s="1" t="str">
        <f t="shared" si="29"/>
        <v/>
      </c>
      <c r="AI10" s="1" t="str">
        <f t="shared" si="30"/>
        <v/>
      </c>
      <c r="AJ10" s="1" t="str">
        <f t="shared" si="31"/>
        <v/>
      </c>
      <c r="AK10" s="1" t="str">
        <f t="shared" si="32"/>
        <v/>
      </c>
      <c r="AL10" s="1" t="str">
        <f t="shared" si="33"/>
        <v/>
      </c>
      <c r="AM10" s="1" t="str">
        <f t="shared" si="34"/>
        <v/>
      </c>
    </row>
    <row r="11" spans="1:39">
      <c r="A11" s="1" t="str">
        <f>IF(捏造NPC!D11="","",捏造NPC!D11)</f>
        <v/>
      </c>
      <c r="B11" s="1" t="str">
        <f>IF(捏造NPC!E11="","",捏造NPC!E11)</f>
        <v/>
      </c>
      <c r="C11" s="1" t="str">
        <f>IF(捏造NPC!F11="","",捏造NPC!F11)</f>
        <v/>
      </c>
      <c r="D11" s="1" t="str">
        <f>IF(捏造NPC!H11="","",捏造NPC!H11)</f>
        <v/>
      </c>
      <c r="E11" s="1" t="str">
        <f>IF(捏造NPC!I11="","",捏造NPC!I11)</f>
        <v/>
      </c>
      <c r="F11" s="1" t="str">
        <f t="shared" si="1"/>
        <v/>
      </c>
      <c r="G11" s="1" t="str">
        <f t="shared" si="2"/>
        <v/>
      </c>
      <c r="H11" s="1" t="str">
        <f t="shared" si="3"/>
        <v/>
      </c>
      <c r="I11" s="1" t="str">
        <f t="shared" si="4"/>
        <v/>
      </c>
      <c r="J11" s="1" t="str">
        <f t="shared" si="5"/>
        <v/>
      </c>
      <c r="K11" s="1" t="str">
        <f t="shared" si="6"/>
        <v/>
      </c>
      <c r="L11" s="1" t="str">
        <f t="shared" si="7"/>
        <v/>
      </c>
      <c r="M11" s="1" t="str">
        <f t="shared" si="8"/>
        <v/>
      </c>
      <c r="N11" s="1" t="str">
        <f t="shared" si="9"/>
        <v/>
      </c>
      <c r="O11" s="1" t="str">
        <f t="shared" si="10"/>
        <v/>
      </c>
      <c r="P11" s="1" t="str">
        <f t="shared" si="11"/>
        <v/>
      </c>
      <c r="Q11" s="1" t="str">
        <f t="shared" si="12"/>
        <v/>
      </c>
      <c r="R11" s="1" t="str">
        <f t="shared" si="13"/>
        <v/>
      </c>
      <c r="S11" s="1" t="str">
        <f t="shared" si="14"/>
        <v/>
      </c>
      <c r="T11" s="1" t="str">
        <f t="shared" si="15"/>
        <v/>
      </c>
      <c r="U11" s="1" t="str">
        <f t="shared" si="16"/>
        <v/>
      </c>
      <c r="V11" s="1" t="str">
        <f t="shared" si="17"/>
        <v/>
      </c>
      <c r="W11" s="1" t="str">
        <f t="shared" si="18"/>
        <v/>
      </c>
      <c r="X11" s="1" t="str">
        <f t="shared" si="19"/>
        <v/>
      </c>
      <c r="Y11" s="1" t="str">
        <f t="shared" si="20"/>
        <v/>
      </c>
      <c r="Z11" s="1" t="str">
        <f t="shared" si="21"/>
        <v/>
      </c>
      <c r="AA11" s="1" t="str">
        <f t="shared" si="22"/>
        <v/>
      </c>
      <c r="AB11" s="1" t="str">
        <f t="shared" si="23"/>
        <v/>
      </c>
      <c r="AC11" s="1" t="str">
        <f t="shared" si="24"/>
        <v/>
      </c>
      <c r="AD11" s="1" t="str">
        <f t="shared" si="25"/>
        <v/>
      </c>
      <c r="AE11" s="1" t="str">
        <f t="shared" si="26"/>
        <v/>
      </c>
      <c r="AF11" s="1" t="str">
        <f t="shared" si="27"/>
        <v/>
      </c>
      <c r="AG11" s="1" t="str">
        <f t="shared" si="28"/>
        <v/>
      </c>
      <c r="AH11" s="1" t="str">
        <f t="shared" si="29"/>
        <v/>
      </c>
      <c r="AI11" s="1" t="str">
        <f t="shared" si="30"/>
        <v/>
      </c>
      <c r="AJ11" s="1" t="str">
        <f t="shared" si="31"/>
        <v/>
      </c>
      <c r="AK11" s="1" t="str">
        <f t="shared" si="32"/>
        <v/>
      </c>
      <c r="AL11" s="1" t="str">
        <f t="shared" si="33"/>
        <v/>
      </c>
      <c r="AM11" s="1" t="str">
        <f t="shared" si="34"/>
        <v/>
      </c>
    </row>
    <row r="12" spans="1:39">
      <c r="A12" s="1" t="str">
        <f>IF(捏造NPC!D12="","",捏造NPC!D12)</f>
        <v/>
      </c>
      <c r="B12" s="1" t="str">
        <f>IF(捏造NPC!E12="","",捏造NPC!E12)</f>
        <v/>
      </c>
      <c r="C12" s="1" t="str">
        <f>IF(捏造NPC!F12="","",捏造NPC!F12)</f>
        <v/>
      </c>
      <c r="D12" s="1" t="str">
        <f>IF(捏造NPC!H12="","",捏造NPC!H12)</f>
        <v/>
      </c>
      <c r="E12" s="1" t="str">
        <f>IF(捏造NPC!I12="","",捏造NPC!I12)</f>
        <v/>
      </c>
      <c r="F12" s="1" t="str">
        <f t="shared" si="1"/>
        <v/>
      </c>
      <c r="G12" s="1" t="str">
        <f t="shared" si="2"/>
        <v/>
      </c>
      <c r="H12" s="1" t="str">
        <f t="shared" si="3"/>
        <v/>
      </c>
      <c r="I12" s="1" t="str">
        <f t="shared" si="4"/>
        <v/>
      </c>
      <c r="J12" s="1" t="str">
        <f t="shared" si="5"/>
        <v/>
      </c>
      <c r="K12" s="1" t="str">
        <f t="shared" si="6"/>
        <v/>
      </c>
      <c r="L12" s="1" t="str">
        <f t="shared" si="7"/>
        <v/>
      </c>
      <c r="M12" s="1" t="str">
        <f t="shared" si="8"/>
        <v/>
      </c>
      <c r="N12" s="1" t="str">
        <f t="shared" si="9"/>
        <v/>
      </c>
      <c r="O12" s="1" t="str">
        <f t="shared" si="10"/>
        <v/>
      </c>
      <c r="P12" s="1" t="str">
        <f t="shared" si="11"/>
        <v/>
      </c>
      <c r="Q12" s="1" t="str">
        <f t="shared" si="12"/>
        <v/>
      </c>
      <c r="R12" s="1" t="str">
        <f t="shared" si="13"/>
        <v/>
      </c>
      <c r="S12" s="1" t="str">
        <f t="shared" si="14"/>
        <v/>
      </c>
      <c r="T12" s="1" t="str">
        <f t="shared" si="15"/>
        <v/>
      </c>
      <c r="U12" s="1" t="str">
        <f t="shared" si="16"/>
        <v/>
      </c>
      <c r="V12" s="1" t="str">
        <f t="shared" si="17"/>
        <v/>
      </c>
      <c r="W12" s="1" t="str">
        <f t="shared" si="18"/>
        <v/>
      </c>
      <c r="X12" s="1" t="str">
        <f t="shared" si="19"/>
        <v/>
      </c>
      <c r="Y12" s="1" t="str">
        <f t="shared" si="20"/>
        <v/>
      </c>
      <c r="Z12" s="1" t="str">
        <f t="shared" si="21"/>
        <v/>
      </c>
      <c r="AA12" s="1" t="str">
        <f t="shared" si="22"/>
        <v/>
      </c>
      <c r="AB12" s="1" t="str">
        <f t="shared" si="23"/>
        <v/>
      </c>
      <c r="AC12" s="1" t="str">
        <f t="shared" si="24"/>
        <v/>
      </c>
      <c r="AD12" s="1" t="str">
        <f t="shared" si="25"/>
        <v/>
      </c>
      <c r="AE12" s="1" t="str">
        <f t="shared" si="26"/>
        <v/>
      </c>
      <c r="AF12" s="1" t="str">
        <f t="shared" si="27"/>
        <v/>
      </c>
      <c r="AG12" s="1" t="str">
        <f t="shared" si="28"/>
        <v/>
      </c>
      <c r="AH12" s="1" t="str">
        <f t="shared" si="29"/>
        <v/>
      </c>
      <c r="AI12" s="1" t="str">
        <f t="shared" si="30"/>
        <v/>
      </c>
      <c r="AJ12" s="1" t="str">
        <f t="shared" si="31"/>
        <v/>
      </c>
      <c r="AK12" s="1" t="str">
        <f t="shared" si="32"/>
        <v/>
      </c>
      <c r="AL12" s="1" t="str">
        <f t="shared" si="33"/>
        <v/>
      </c>
      <c r="AM12" s="1" t="str">
        <f t="shared" si="34"/>
        <v/>
      </c>
    </row>
    <row r="13" spans="1:39">
      <c r="A13" s="1" t="str">
        <f>IF(捏造NPC!D13="","",捏造NPC!D13)</f>
        <v/>
      </c>
      <c r="B13" s="1" t="str">
        <f>IF(捏造NPC!E13="","",捏造NPC!E13)</f>
        <v/>
      </c>
      <c r="C13" s="1" t="str">
        <f>IF(捏造NPC!F13="","",捏造NPC!F13)</f>
        <v/>
      </c>
      <c r="D13" s="1" t="str">
        <f>IF(捏造NPC!H13="","",捏造NPC!H13)</f>
        <v/>
      </c>
      <c r="E13" s="1" t="str">
        <f>IF(捏造NPC!I13="","",捏造NPC!I13)</f>
        <v/>
      </c>
      <c r="F13" s="1" t="str">
        <f t="shared" si="1"/>
        <v/>
      </c>
      <c r="G13" s="1" t="str">
        <f t="shared" si="2"/>
        <v/>
      </c>
      <c r="H13" s="1" t="str">
        <f t="shared" si="3"/>
        <v/>
      </c>
      <c r="I13" s="1" t="str">
        <f t="shared" si="4"/>
        <v/>
      </c>
      <c r="J13" s="1" t="str">
        <f t="shared" si="5"/>
        <v/>
      </c>
      <c r="K13" s="1" t="str">
        <f t="shared" si="6"/>
        <v/>
      </c>
      <c r="L13" s="1" t="str">
        <f t="shared" si="7"/>
        <v/>
      </c>
      <c r="M13" s="1" t="str">
        <f t="shared" si="8"/>
        <v/>
      </c>
      <c r="N13" s="1" t="str">
        <f t="shared" si="9"/>
        <v/>
      </c>
      <c r="O13" s="1" t="str">
        <f t="shared" si="10"/>
        <v/>
      </c>
      <c r="P13" s="1" t="str">
        <f t="shared" si="11"/>
        <v/>
      </c>
      <c r="Q13" s="1" t="str">
        <f t="shared" si="12"/>
        <v/>
      </c>
      <c r="R13" s="1" t="str">
        <f t="shared" si="13"/>
        <v/>
      </c>
      <c r="S13" s="1" t="str">
        <f t="shared" si="14"/>
        <v/>
      </c>
      <c r="T13" s="1" t="str">
        <f t="shared" si="15"/>
        <v/>
      </c>
      <c r="U13" s="1" t="str">
        <f t="shared" si="16"/>
        <v/>
      </c>
      <c r="V13" s="1" t="str">
        <f t="shared" si="17"/>
        <v/>
      </c>
      <c r="W13" s="1" t="str">
        <f t="shared" si="18"/>
        <v/>
      </c>
      <c r="X13" s="1" t="str">
        <f t="shared" si="19"/>
        <v/>
      </c>
      <c r="Y13" s="1" t="str">
        <f t="shared" si="20"/>
        <v/>
      </c>
      <c r="Z13" s="1" t="str">
        <f t="shared" si="21"/>
        <v/>
      </c>
      <c r="AA13" s="1" t="str">
        <f t="shared" si="22"/>
        <v/>
      </c>
      <c r="AB13" s="1" t="str">
        <f t="shared" si="23"/>
        <v/>
      </c>
      <c r="AC13" s="1" t="str">
        <f t="shared" si="24"/>
        <v/>
      </c>
      <c r="AD13" s="1" t="str">
        <f t="shared" si="25"/>
        <v/>
      </c>
      <c r="AE13" s="1" t="str">
        <f t="shared" si="26"/>
        <v/>
      </c>
      <c r="AF13" s="1" t="str">
        <f t="shared" si="27"/>
        <v/>
      </c>
      <c r="AG13" s="1" t="str">
        <f t="shared" si="28"/>
        <v/>
      </c>
      <c r="AH13" s="1" t="str">
        <f t="shared" si="29"/>
        <v/>
      </c>
      <c r="AI13" s="1" t="str">
        <f t="shared" si="30"/>
        <v/>
      </c>
      <c r="AJ13" s="1" t="str">
        <f t="shared" si="31"/>
        <v/>
      </c>
      <c r="AK13" s="1" t="str">
        <f t="shared" si="32"/>
        <v/>
      </c>
      <c r="AL13" s="1" t="str">
        <f t="shared" si="33"/>
        <v/>
      </c>
      <c r="AM13" s="1" t="str">
        <f t="shared" si="34"/>
        <v/>
      </c>
    </row>
    <row r="14" spans="1:39">
      <c r="A14" s="1" t="str">
        <f>IF(捏造NPC!D14="","",捏造NPC!D14)</f>
        <v/>
      </c>
      <c r="B14" s="1" t="str">
        <f>IF(捏造NPC!E14="","",捏造NPC!E14)</f>
        <v/>
      </c>
      <c r="C14" s="1" t="str">
        <f>IF(捏造NPC!F14="","",捏造NPC!F14)</f>
        <v/>
      </c>
      <c r="D14" s="1" t="str">
        <f>IF(捏造NPC!H14="","",捏造NPC!H14)</f>
        <v/>
      </c>
      <c r="E14" s="1" t="str">
        <f>IF(捏造NPC!I14="","",捏造NPC!I14)</f>
        <v/>
      </c>
      <c r="F14" s="1" t="str">
        <f t="shared" si="1"/>
        <v/>
      </c>
      <c r="G14" s="1" t="str">
        <f t="shared" si="2"/>
        <v/>
      </c>
      <c r="H14" s="1" t="str">
        <f t="shared" si="3"/>
        <v/>
      </c>
      <c r="I14" s="1" t="str">
        <f t="shared" si="4"/>
        <v/>
      </c>
      <c r="J14" s="1" t="str">
        <f t="shared" si="5"/>
        <v/>
      </c>
      <c r="K14" s="1" t="str">
        <f t="shared" si="6"/>
        <v/>
      </c>
      <c r="L14" s="1" t="str">
        <f t="shared" si="7"/>
        <v/>
      </c>
      <c r="M14" s="1" t="str">
        <f t="shared" si="8"/>
        <v/>
      </c>
      <c r="N14" s="1" t="str">
        <f t="shared" si="9"/>
        <v/>
      </c>
      <c r="O14" s="1" t="str">
        <f t="shared" si="10"/>
        <v/>
      </c>
      <c r="P14" s="1" t="str">
        <f t="shared" si="11"/>
        <v/>
      </c>
      <c r="Q14" s="1" t="str">
        <f t="shared" si="12"/>
        <v/>
      </c>
      <c r="R14" s="1" t="str">
        <f t="shared" si="13"/>
        <v/>
      </c>
      <c r="S14" s="1" t="str">
        <f t="shared" si="14"/>
        <v/>
      </c>
      <c r="T14" s="1" t="str">
        <f t="shared" si="15"/>
        <v/>
      </c>
      <c r="U14" s="1" t="str">
        <f t="shared" si="16"/>
        <v/>
      </c>
      <c r="V14" s="1" t="str">
        <f t="shared" si="17"/>
        <v/>
      </c>
      <c r="W14" s="1" t="str">
        <f t="shared" si="18"/>
        <v/>
      </c>
      <c r="X14" s="1" t="str">
        <f t="shared" si="19"/>
        <v/>
      </c>
      <c r="Y14" s="1" t="str">
        <f t="shared" si="20"/>
        <v/>
      </c>
      <c r="Z14" s="1" t="str">
        <f t="shared" si="21"/>
        <v/>
      </c>
      <c r="AA14" s="1" t="str">
        <f t="shared" si="22"/>
        <v/>
      </c>
      <c r="AB14" s="1" t="str">
        <f t="shared" si="23"/>
        <v/>
      </c>
      <c r="AC14" s="1" t="str">
        <f t="shared" si="24"/>
        <v/>
      </c>
      <c r="AD14" s="1" t="str">
        <f t="shared" si="25"/>
        <v/>
      </c>
      <c r="AE14" s="1" t="str">
        <f t="shared" si="26"/>
        <v/>
      </c>
      <c r="AF14" s="1" t="str">
        <f t="shared" si="27"/>
        <v/>
      </c>
      <c r="AG14" s="1" t="str">
        <f t="shared" si="28"/>
        <v/>
      </c>
      <c r="AH14" s="1" t="str">
        <f t="shared" si="29"/>
        <v/>
      </c>
      <c r="AI14" s="1" t="str">
        <f t="shared" si="30"/>
        <v/>
      </c>
      <c r="AJ14" s="1" t="str">
        <f t="shared" si="31"/>
        <v/>
      </c>
      <c r="AK14" s="1" t="str">
        <f t="shared" si="32"/>
        <v/>
      </c>
      <c r="AL14" s="1" t="str">
        <f t="shared" si="33"/>
        <v/>
      </c>
      <c r="AM14" s="1" t="str">
        <f t="shared" si="34"/>
        <v/>
      </c>
    </row>
    <row r="15" spans="1:39">
      <c r="A15" s="1" t="str">
        <f>IF(捏造NPC!D15="","",捏造NPC!D15)</f>
        <v/>
      </c>
      <c r="B15" s="1" t="str">
        <f>IF(捏造NPC!E15="","",捏造NPC!E15)</f>
        <v/>
      </c>
      <c r="C15" s="1" t="str">
        <f>IF(捏造NPC!F15="","",捏造NPC!F15)</f>
        <v/>
      </c>
      <c r="D15" s="1" t="str">
        <f>IF(捏造NPC!H15="","",捏造NPC!H15)</f>
        <v/>
      </c>
      <c r="E15" s="1" t="str">
        <f>IF(捏造NPC!I15="","",捏造NPC!I15)</f>
        <v/>
      </c>
      <c r="F15" s="1" t="str">
        <f t="shared" si="1"/>
        <v/>
      </c>
      <c r="G15" s="1" t="str">
        <f t="shared" si="2"/>
        <v/>
      </c>
      <c r="H15" s="1" t="str">
        <f t="shared" si="3"/>
        <v/>
      </c>
      <c r="I15" s="1" t="str">
        <f t="shared" si="4"/>
        <v/>
      </c>
      <c r="J15" s="1" t="str">
        <f t="shared" si="5"/>
        <v/>
      </c>
      <c r="K15" s="1" t="str">
        <f t="shared" si="6"/>
        <v/>
      </c>
      <c r="L15" s="1" t="str">
        <f t="shared" si="7"/>
        <v/>
      </c>
      <c r="M15" s="1" t="str">
        <f t="shared" si="8"/>
        <v/>
      </c>
      <c r="N15" s="1" t="str">
        <f t="shared" si="9"/>
        <v/>
      </c>
      <c r="O15" s="1" t="str">
        <f t="shared" si="10"/>
        <v/>
      </c>
      <c r="P15" s="1" t="str">
        <f t="shared" si="11"/>
        <v/>
      </c>
      <c r="Q15" s="1" t="str">
        <f t="shared" si="12"/>
        <v/>
      </c>
      <c r="R15" s="1" t="str">
        <f t="shared" si="13"/>
        <v/>
      </c>
      <c r="S15" s="1" t="str">
        <f t="shared" si="14"/>
        <v/>
      </c>
      <c r="T15" s="1" t="str">
        <f t="shared" si="15"/>
        <v/>
      </c>
      <c r="U15" s="1" t="str">
        <f t="shared" si="16"/>
        <v/>
      </c>
      <c r="V15" s="1" t="str">
        <f t="shared" si="17"/>
        <v/>
      </c>
      <c r="W15" s="1" t="str">
        <f t="shared" si="18"/>
        <v/>
      </c>
      <c r="X15" s="1" t="str">
        <f t="shared" si="19"/>
        <v/>
      </c>
      <c r="Y15" s="1" t="str">
        <f t="shared" si="20"/>
        <v/>
      </c>
      <c r="Z15" s="1" t="str">
        <f t="shared" si="21"/>
        <v/>
      </c>
      <c r="AA15" s="1" t="str">
        <f t="shared" si="22"/>
        <v/>
      </c>
      <c r="AB15" s="1" t="str">
        <f t="shared" si="23"/>
        <v/>
      </c>
      <c r="AC15" s="1" t="str">
        <f t="shared" si="24"/>
        <v/>
      </c>
      <c r="AD15" s="1" t="str">
        <f t="shared" si="25"/>
        <v/>
      </c>
      <c r="AE15" s="1" t="str">
        <f t="shared" si="26"/>
        <v/>
      </c>
      <c r="AF15" s="1" t="str">
        <f t="shared" si="27"/>
        <v/>
      </c>
      <c r="AG15" s="1" t="str">
        <f t="shared" si="28"/>
        <v/>
      </c>
      <c r="AH15" s="1" t="str">
        <f t="shared" si="29"/>
        <v/>
      </c>
      <c r="AI15" s="1" t="str">
        <f t="shared" si="30"/>
        <v/>
      </c>
      <c r="AJ15" s="1" t="str">
        <f t="shared" si="31"/>
        <v/>
      </c>
      <c r="AK15" s="1" t="str">
        <f t="shared" si="32"/>
        <v/>
      </c>
      <c r="AL15" s="1" t="str">
        <f t="shared" si="33"/>
        <v/>
      </c>
      <c r="AM15" s="1" t="str">
        <f t="shared" si="34"/>
        <v/>
      </c>
    </row>
    <row r="16" spans="1:39">
      <c r="A16" s="1" t="str">
        <f>IF(捏造NPC!D16="","",捏造NPC!D16)</f>
        <v/>
      </c>
      <c r="B16" s="1" t="str">
        <f>IF(捏造NPC!E16="","",捏造NPC!E16)</f>
        <v/>
      </c>
      <c r="C16" s="1" t="str">
        <f>IF(捏造NPC!F16="","",捏造NPC!F16)</f>
        <v/>
      </c>
      <c r="D16" s="1" t="str">
        <f>IF(捏造NPC!H16="","",捏造NPC!H16)</f>
        <v/>
      </c>
      <c r="E16" s="1" t="str">
        <f>IF(捏造NPC!I16="","",捏造NPC!I16)</f>
        <v/>
      </c>
      <c r="F16" s="1" t="str">
        <f t="shared" si="1"/>
        <v/>
      </c>
      <c r="G16" s="1" t="str">
        <f t="shared" si="2"/>
        <v/>
      </c>
      <c r="H16" s="1" t="str">
        <f t="shared" si="3"/>
        <v/>
      </c>
      <c r="I16" s="1" t="str">
        <f t="shared" si="4"/>
        <v/>
      </c>
      <c r="J16" s="1" t="str">
        <f t="shared" si="5"/>
        <v/>
      </c>
      <c r="K16" s="1" t="str">
        <f t="shared" si="6"/>
        <v/>
      </c>
      <c r="L16" s="1" t="str">
        <f t="shared" si="7"/>
        <v/>
      </c>
      <c r="M16" s="1" t="str">
        <f t="shared" si="8"/>
        <v/>
      </c>
      <c r="N16" s="1" t="str">
        <f t="shared" si="9"/>
        <v/>
      </c>
      <c r="O16" s="1" t="str">
        <f t="shared" si="10"/>
        <v/>
      </c>
      <c r="P16" s="1" t="str">
        <f t="shared" si="11"/>
        <v/>
      </c>
      <c r="Q16" s="1" t="str">
        <f t="shared" si="12"/>
        <v/>
      </c>
      <c r="R16" s="1" t="str">
        <f t="shared" si="13"/>
        <v/>
      </c>
      <c r="S16" s="1" t="str">
        <f t="shared" si="14"/>
        <v/>
      </c>
      <c r="T16" s="1" t="str">
        <f t="shared" si="15"/>
        <v/>
      </c>
      <c r="U16" s="1" t="str">
        <f t="shared" si="16"/>
        <v/>
      </c>
      <c r="V16" s="1" t="str">
        <f t="shared" si="17"/>
        <v/>
      </c>
      <c r="W16" s="1" t="str">
        <f t="shared" si="18"/>
        <v/>
      </c>
      <c r="X16" s="1" t="str">
        <f t="shared" si="19"/>
        <v/>
      </c>
      <c r="Y16" s="1" t="str">
        <f t="shared" si="20"/>
        <v/>
      </c>
      <c r="Z16" s="1" t="str">
        <f t="shared" si="21"/>
        <v/>
      </c>
      <c r="AA16" s="1" t="str">
        <f t="shared" si="22"/>
        <v/>
      </c>
      <c r="AB16" s="1" t="str">
        <f t="shared" si="23"/>
        <v/>
      </c>
      <c r="AC16" s="1" t="str">
        <f t="shared" si="24"/>
        <v/>
      </c>
      <c r="AD16" s="1" t="str">
        <f t="shared" si="25"/>
        <v/>
      </c>
      <c r="AE16" s="1" t="str">
        <f t="shared" si="26"/>
        <v/>
      </c>
      <c r="AF16" s="1" t="str">
        <f t="shared" si="27"/>
        <v/>
      </c>
      <c r="AG16" s="1" t="str">
        <f t="shared" si="28"/>
        <v/>
      </c>
      <c r="AH16" s="1" t="str">
        <f t="shared" si="29"/>
        <v/>
      </c>
      <c r="AI16" s="1" t="str">
        <f t="shared" si="30"/>
        <v/>
      </c>
      <c r="AJ16" s="1" t="str">
        <f t="shared" si="31"/>
        <v/>
      </c>
      <c r="AK16" s="1" t="str">
        <f t="shared" si="32"/>
        <v/>
      </c>
      <c r="AL16" s="1" t="str">
        <f t="shared" si="33"/>
        <v/>
      </c>
      <c r="AM16" s="1" t="str">
        <f t="shared" si="34"/>
        <v/>
      </c>
    </row>
    <row r="17" spans="1:39">
      <c r="A17" s="1" t="str">
        <f>IF(捏造NPC!D17="","",捏造NPC!D17)</f>
        <v/>
      </c>
      <c r="B17" s="1" t="str">
        <f>IF(捏造NPC!E17="","",捏造NPC!E17)</f>
        <v/>
      </c>
      <c r="C17" s="1" t="str">
        <f>IF(捏造NPC!F17="","",捏造NPC!F17)</f>
        <v/>
      </c>
      <c r="D17" s="1" t="str">
        <f>IF(捏造NPC!H17="","",捏造NPC!H17)</f>
        <v/>
      </c>
      <c r="E17" s="1" t="str">
        <f>IF(捏造NPC!I17="","",捏造NPC!I17)</f>
        <v/>
      </c>
      <c r="F17" s="1" t="str">
        <f t="shared" si="1"/>
        <v/>
      </c>
      <c r="G17" s="1" t="str">
        <f t="shared" si="2"/>
        <v/>
      </c>
      <c r="H17" s="1" t="str">
        <f t="shared" si="3"/>
        <v/>
      </c>
      <c r="I17" s="1" t="str">
        <f t="shared" si="4"/>
        <v/>
      </c>
      <c r="J17" s="1" t="str">
        <f t="shared" si="5"/>
        <v/>
      </c>
      <c r="K17" s="1" t="str">
        <f t="shared" si="6"/>
        <v/>
      </c>
      <c r="L17" s="1" t="str">
        <f t="shared" si="7"/>
        <v/>
      </c>
      <c r="M17" s="1" t="str">
        <f t="shared" si="8"/>
        <v/>
      </c>
      <c r="N17" s="1" t="str">
        <f t="shared" si="9"/>
        <v/>
      </c>
      <c r="O17" s="1" t="str">
        <f t="shared" si="10"/>
        <v/>
      </c>
      <c r="P17" s="1" t="str">
        <f t="shared" si="11"/>
        <v/>
      </c>
      <c r="Q17" s="1" t="str">
        <f t="shared" si="12"/>
        <v/>
      </c>
      <c r="R17" s="1" t="str">
        <f t="shared" si="13"/>
        <v/>
      </c>
      <c r="S17" s="1" t="str">
        <f t="shared" si="14"/>
        <v/>
      </c>
      <c r="T17" s="1" t="str">
        <f t="shared" si="15"/>
        <v/>
      </c>
      <c r="U17" s="1" t="str">
        <f t="shared" si="16"/>
        <v/>
      </c>
      <c r="V17" s="1" t="str">
        <f t="shared" si="17"/>
        <v/>
      </c>
      <c r="W17" s="1" t="str">
        <f t="shared" si="18"/>
        <v/>
      </c>
      <c r="X17" s="1" t="str">
        <f t="shared" si="19"/>
        <v/>
      </c>
      <c r="Y17" s="1" t="str">
        <f t="shared" si="20"/>
        <v/>
      </c>
      <c r="Z17" s="1" t="str">
        <f t="shared" si="21"/>
        <v/>
      </c>
      <c r="AA17" s="1" t="str">
        <f t="shared" si="22"/>
        <v/>
      </c>
      <c r="AB17" s="1" t="str">
        <f t="shared" si="23"/>
        <v/>
      </c>
      <c r="AC17" s="1" t="str">
        <f t="shared" si="24"/>
        <v/>
      </c>
      <c r="AD17" s="1" t="str">
        <f t="shared" si="25"/>
        <v/>
      </c>
      <c r="AE17" s="1" t="str">
        <f t="shared" si="26"/>
        <v/>
      </c>
      <c r="AF17" s="1" t="str">
        <f t="shared" si="27"/>
        <v/>
      </c>
      <c r="AG17" s="1" t="str">
        <f t="shared" si="28"/>
        <v/>
      </c>
      <c r="AH17" s="1" t="str">
        <f t="shared" si="29"/>
        <v/>
      </c>
      <c r="AI17" s="1" t="str">
        <f t="shared" si="30"/>
        <v/>
      </c>
      <c r="AJ17" s="1" t="str">
        <f t="shared" si="31"/>
        <v/>
      </c>
      <c r="AK17" s="1" t="str">
        <f t="shared" si="32"/>
        <v/>
      </c>
      <c r="AL17" s="1" t="str">
        <f t="shared" si="33"/>
        <v/>
      </c>
      <c r="AM17" s="1" t="str">
        <f t="shared" si="34"/>
        <v/>
      </c>
    </row>
    <row r="18" spans="1:39">
      <c r="A18" s="1" t="str">
        <f>IF(捏造NPC!D18="","",捏造NPC!D18)</f>
        <v/>
      </c>
      <c r="B18" s="1" t="str">
        <f>IF(捏造NPC!E18="","",捏造NPC!E18)</f>
        <v/>
      </c>
      <c r="C18" s="1" t="str">
        <f>IF(捏造NPC!F18="","",捏造NPC!F18)</f>
        <v/>
      </c>
      <c r="D18" s="1" t="str">
        <f>IF(捏造NPC!H18="","",捏造NPC!H18)</f>
        <v/>
      </c>
      <c r="E18" s="1" t="str">
        <f>IF(捏造NPC!I18="","",捏造NPC!I18)</f>
        <v/>
      </c>
      <c r="F18" s="1" t="str">
        <f t="shared" si="1"/>
        <v/>
      </c>
      <c r="G18" s="1" t="str">
        <f t="shared" si="2"/>
        <v/>
      </c>
      <c r="H18" s="1" t="str">
        <f t="shared" si="3"/>
        <v/>
      </c>
      <c r="I18" s="1" t="str">
        <f t="shared" si="4"/>
        <v/>
      </c>
      <c r="J18" s="1" t="str">
        <f t="shared" si="5"/>
        <v/>
      </c>
      <c r="K18" s="1" t="str">
        <f t="shared" si="6"/>
        <v/>
      </c>
      <c r="L18" s="1" t="str">
        <f t="shared" si="7"/>
        <v/>
      </c>
      <c r="M18" s="1" t="str">
        <f t="shared" si="8"/>
        <v/>
      </c>
      <c r="N18" s="1" t="str">
        <f t="shared" si="9"/>
        <v/>
      </c>
      <c r="O18" s="1" t="str">
        <f t="shared" si="10"/>
        <v/>
      </c>
      <c r="P18" s="1" t="str">
        <f t="shared" si="11"/>
        <v/>
      </c>
      <c r="Q18" s="1" t="str">
        <f t="shared" si="12"/>
        <v/>
      </c>
      <c r="R18" s="1" t="str">
        <f t="shared" si="13"/>
        <v/>
      </c>
      <c r="S18" s="1" t="str">
        <f t="shared" si="14"/>
        <v/>
      </c>
      <c r="T18" s="1" t="str">
        <f t="shared" si="15"/>
        <v/>
      </c>
      <c r="U18" s="1" t="str">
        <f t="shared" si="16"/>
        <v/>
      </c>
      <c r="V18" s="1" t="str">
        <f t="shared" si="17"/>
        <v/>
      </c>
      <c r="W18" s="1" t="str">
        <f t="shared" si="18"/>
        <v/>
      </c>
      <c r="X18" s="1" t="str">
        <f t="shared" si="19"/>
        <v/>
      </c>
      <c r="Y18" s="1" t="str">
        <f t="shared" si="20"/>
        <v/>
      </c>
      <c r="Z18" s="1" t="str">
        <f t="shared" si="21"/>
        <v/>
      </c>
      <c r="AA18" s="1" t="str">
        <f t="shared" si="22"/>
        <v/>
      </c>
      <c r="AB18" s="1" t="str">
        <f t="shared" si="23"/>
        <v/>
      </c>
      <c r="AC18" s="1" t="str">
        <f t="shared" si="24"/>
        <v/>
      </c>
      <c r="AD18" s="1" t="str">
        <f t="shared" si="25"/>
        <v/>
      </c>
      <c r="AE18" s="1" t="str">
        <f t="shared" si="26"/>
        <v/>
      </c>
      <c r="AF18" s="1" t="str">
        <f t="shared" si="27"/>
        <v/>
      </c>
      <c r="AG18" s="1" t="str">
        <f t="shared" si="28"/>
        <v/>
      </c>
      <c r="AH18" s="1" t="str">
        <f t="shared" si="29"/>
        <v/>
      </c>
      <c r="AI18" s="1" t="str">
        <f t="shared" si="30"/>
        <v/>
      </c>
      <c r="AJ18" s="1" t="str">
        <f t="shared" si="31"/>
        <v/>
      </c>
      <c r="AK18" s="1" t="str">
        <f t="shared" si="32"/>
        <v/>
      </c>
      <c r="AL18" s="1" t="str">
        <f t="shared" si="33"/>
        <v/>
      </c>
      <c r="AM18" s="1" t="str">
        <f t="shared" si="34"/>
        <v/>
      </c>
    </row>
    <row r="19" spans="1:39">
      <c r="A19" s="1" t="str">
        <f>IF(捏造NPC!D19="","",捏造NPC!D19)</f>
        <v/>
      </c>
      <c r="B19" s="1" t="str">
        <f>IF(捏造NPC!E19="","",捏造NPC!E19)</f>
        <v/>
      </c>
      <c r="C19" s="1" t="str">
        <f>IF(捏造NPC!F19="","",捏造NPC!F19)</f>
        <v/>
      </c>
      <c r="D19" s="1" t="str">
        <f>IF(捏造NPC!H19="","",捏造NPC!H19)</f>
        <v/>
      </c>
      <c r="E19" s="1" t="str">
        <f>IF(捏造NPC!I19="","",捏造NPC!I19)</f>
        <v/>
      </c>
      <c r="F19" s="1" t="str">
        <f t="shared" si="1"/>
        <v/>
      </c>
      <c r="G19" s="1" t="str">
        <f t="shared" si="2"/>
        <v/>
      </c>
      <c r="H19" s="1" t="str">
        <f t="shared" si="3"/>
        <v/>
      </c>
      <c r="I19" s="1" t="str">
        <f t="shared" si="4"/>
        <v/>
      </c>
      <c r="J19" s="1" t="str">
        <f t="shared" si="5"/>
        <v/>
      </c>
      <c r="K19" s="1" t="str">
        <f t="shared" si="6"/>
        <v/>
      </c>
      <c r="L19" s="1" t="str">
        <f t="shared" si="7"/>
        <v/>
      </c>
      <c r="M19" s="1" t="str">
        <f t="shared" si="8"/>
        <v/>
      </c>
      <c r="N19" s="1" t="str">
        <f t="shared" si="9"/>
        <v/>
      </c>
      <c r="O19" s="1" t="str">
        <f t="shared" si="10"/>
        <v/>
      </c>
      <c r="P19" s="1" t="str">
        <f t="shared" si="11"/>
        <v/>
      </c>
      <c r="Q19" s="1" t="str">
        <f t="shared" si="12"/>
        <v/>
      </c>
      <c r="R19" s="1" t="str">
        <f t="shared" si="13"/>
        <v/>
      </c>
      <c r="S19" s="1" t="str">
        <f t="shared" si="14"/>
        <v/>
      </c>
      <c r="T19" s="1" t="str">
        <f t="shared" si="15"/>
        <v/>
      </c>
      <c r="U19" s="1" t="str">
        <f t="shared" si="16"/>
        <v/>
      </c>
      <c r="V19" s="1" t="str">
        <f t="shared" si="17"/>
        <v/>
      </c>
      <c r="W19" s="1" t="str">
        <f t="shared" si="18"/>
        <v/>
      </c>
      <c r="X19" s="1" t="str">
        <f t="shared" si="19"/>
        <v/>
      </c>
      <c r="Y19" s="1" t="str">
        <f t="shared" si="20"/>
        <v/>
      </c>
      <c r="Z19" s="1" t="str">
        <f t="shared" si="21"/>
        <v/>
      </c>
      <c r="AA19" s="1" t="str">
        <f t="shared" si="22"/>
        <v/>
      </c>
      <c r="AB19" s="1" t="str">
        <f t="shared" si="23"/>
        <v/>
      </c>
      <c r="AC19" s="1" t="str">
        <f t="shared" si="24"/>
        <v/>
      </c>
      <c r="AD19" s="1" t="str">
        <f t="shared" si="25"/>
        <v/>
      </c>
      <c r="AE19" s="1" t="str">
        <f t="shared" si="26"/>
        <v/>
      </c>
      <c r="AF19" s="1" t="str">
        <f t="shared" si="27"/>
        <v/>
      </c>
      <c r="AG19" s="1" t="str">
        <f t="shared" si="28"/>
        <v/>
      </c>
      <c r="AH19" s="1" t="str">
        <f t="shared" si="29"/>
        <v/>
      </c>
      <c r="AI19" s="1" t="str">
        <f t="shared" si="30"/>
        <v/>
      </c>
      <c r="AJ19" s="1" t="str">
        <f t="shared" si="31"/>
        <v/>
      </c>
      <c r="AK19" s="1" t="str">
        <f t="shared" si="32"/>
        <v/>
      </c>
      <c r="AL19" s="1" t="str">
        <f t="shared" si="33"/>
        <v/>
      </c>
      <c r="AM19" s="1" t="str">
        <f t="shared" si="34"/>
        <v/>
      </c>
    </row>
    <row r="20" spans="1:39">
      <c r="A20" s="1" t="str">
        <f>IF(捏造NPC!D20="","",捏造NPC!D20)</f>
        <v/>
      </c>
      <c r="B20" s="1" t="str">
        <f>IF(捏造NPC!E20="","",捏造NPC!E20)</f>
        <v/>
      </c>
      <c r="C20" s="1" t="str">
        <f>IF(捏造NPC!F20="","",捏造NPC!F20)</f>
        <v/>
      </c>
      <c r="D20" s="1" t="str">
        <f>IF(捏造NPC!H20="","",捏造NPC!H20)</f>
        <v/>
      </c>
      <c r="E20" s="1" t="str">
        <f>IF(捏造NPC!I20="","",捏造NPC!I20)</f>
        <v/>
      </c>
      <c r="F20" s="1" t="str">
        <f t="shared" si="1"/>
        <v/>
      </c>
      <c r="G20" s="1" t="str">
        <f t="shared" si="2"/>
        <v/>
      </c>
      <c r="H20" s="1" t="str">
        <f t="shared" si="3"/>
        <v/>
      </c>
      <c r="I20" s="1" t="str">
        <f t="shared" si="4"/>
        <v/>
      </c>
      <c r="J20" s="1" t="str">
        <f t="shared" si="5"/>
        <v/>
      </c>
      <c r="K20" s="1" t="str">
        <f t="shared" si="6"/>
        <v/>
      </c>
      <c r="L20" s="1" t="str">
        <f t="shared" si="7"/>
        <v/>
      </c>
      <c r="M20" s="1" t="str">
        <f t="shared" si="8"/>
        <v/>
      </c>
      <c r="N20" s="1" t="str">
        <f t="shared" si="9"/>
        <v/>
      </c>
      <c r="O20" s="1" t="str">
        <f t="shared" si="10"/>
        <v/>
      </c>
      <c r="P20" s="1" t="str">
        <f t="shared" si="11"/>
        <v/>
      </c>
      <c r="Q20" s="1" t="str">
        <f t="shared" si="12"/>
        <v/>
      </c>
      <c r="R20" s="1" t="str">
        <f t="shared" si="13"/>
        <v/>
      </c>
      <c r="S20" s="1" t="str">
        <f t="shared" si="14"/>
        <v/>
      </c>
      <c r="T20" s="1" t="str">
        <f t="shared" si="15"/>
        <v/>
      </c>
      <c r="U20" s="1" t="str">
        <f t="shared" si="16"/>
        <v/>
      </c>
      <c r="V20" s="1" t="str">
        <f t="shared" si="17"/>
        <v/>
      </c>
      <c r="W20" s="1" t="str">
        <f t="shared" si="18"/>
        <v/>
      </c>
      <c r="X20" s="1" t="str">
        <f t="shared" si="19"/>
        <v/>
      </c>
      <c r="Y20" s="1" t="str">
        <f t="shared" si="20"/>
        <v/>
      </c>
      <c r="Z20" s="1" t="str">
        <f t="shared" si="21"/>
        <v/>
      </c>
      <c r="AA20" s="1" t="str">
        <f t="shared" si="22"/>
        <v/>
      </c>
      <c r="AB20" s="1" t="str">
        <f t="shared" si="23"/>
        <v/>
      </c>
      <c r="AC20" s="1" t="str">
        <f t="shared" si="24"/>
        <v/>
      </c>
      <c r="AD20" s="1" t="str">
        <f t="shared" si="25"/>
        <v/>
      </c>
      <c r="AE20" s="1" t="str">
        <f t="shared" si="26"/>
        <v/>
      </c>
      <c r="AF20" s="1" t="str">
        <f t="shared" si="27"/>
        <v/>
      </c>
      <c r="AG20" s="1" t="str">
        <f t="shared" si="28"/>
        <v/>
      </c>
      <c r="AH20" s="1" t="str">
        <f t="shared" si="29"/>
        <v/>
      </c>
      <c r="AI20" s="1" t="str">
        <f t="shared" si="30"/>
        <v/>
      </c>
      <c r="AJ20" s="1" t="str">
        <f t="shared" si="31"/>
        <v/>
      </c>
      <c r="AK20" s="1" t="str">
        <f t="shared" si="32"/>
        <v/>
      </c>
      <c r="AL20" s="1" t="str">
        <f t="shared" si="33"/>
        <v/>
      </c>
      <c r="AM20" s="1" t="str">
        <f t="shared" si="34"/>
        <v/>
      </c>
    </row>
    <row r="21" spans="1:39">
      <c r="A21" s="1" t="str">
        <f>IF(捏造NPC!D21="","",捏造NPC!D21)</f>
        <v/>
      </c>
      <c r="B21" s="1" t="str">
        <f>IF(捏造NPC!E21="","",捏造NPC!E21)</f>
        <v/>
      </c>
      <c r="C21" s="1" t="str">
        <f>IF(捏造NPC!F21="","",捏造NPC!F21)</f>
        <v/>
      </c>
      <c r="D21" s="1" t="str">
        <f>IF(捏造NPC!H21="","",捏造NPC!H21)</f>
        <v/>
      </c>
      <c r="E21" s="1" t="str">
        <f>IF(捏造NPC!I21="","",捏造NPC!I21)</f>
        <v/>
      </c>
      <c r="F21" s="1" t="str">
        <f t="shared" si="1"/>
        <v/>
      </c>
      <c r="G21" s="1" t="str">
        <f t="shared" si="2"/>
        <v/>
      </c>
      <c r="H21" s="1" t="str">
        <f t="shared" si="3"/>
        <v/>
      </c>
      <c r="I21" s="1" t="str">
        <f t="shared" si="4"/>
        <v/>
      </c>
      <c r="J21" s="1" t="str">
        <f t="shared" si="5"/>
        <v/>
      </c>
      <c r="K21" s="1" t="str">
        <f t="shared" si="6"/>
        <v/>
      </c>
      <c r="L21" s="1" t="str">
        <f t="shared" si="7"/>
        <v/>
      </c>
      <c r="M21" s="1" t="str">
        <f t="shared" si="8"/>
        <v/>
      </c>
      <c r="N21" s="1" t="str">
        <f t="shared" si="9"/>
        <v/>
      </c>
      <c r="O21" s="1" t="str">
        <f t="shared" si="10"/>
        <v/>
      </c>
      <c r="P21" s="1" t="str">
        <f t="shared" si="11"/>
        <v/>
      </c>
      <c r="Q21" s="1" t="str">
        <f t="shared" si="12"/>
        <v/>
      </c>
      <c r="R21" s="1" t="str">
        <f t="shared" si="13"/>
        <v/>
      </c>
      <c r="S21" s="1" t="str">
        <f t="shared" si="14"/>
        <v/>
      </c>
      <c r="T21" s="1" t="str">
        <f t="shared" si="15"/>
        <v/>
      </c>
      <c r="U21" s="1" t="str">
        <f t="shared" si="16"/>
        <v/>
      </c>
      <c r="V21" s="1" t="str">
        <f t="shared" si="17"/>
        <v/>
      </c>
      <c r="W21" s="1" t="str">
        <f t="shared" si="18"/>
        <v/>
      </c>
      <c r="X21" s="1" t="str">
        <f t="shared" si="19"/>
        <v/>
      </c>
      <c r="Y21" s="1" t="str">
        <f t="shared" si="20"/>
        <v/>
      </c>
      <c r="Z21" s="1" t="str">
        <f t="shared" si="21"/>
        <v/>
      </c>
      <c r="AA21" s="1" t="str">
        <f t="shared" si="22"/>
        <v/>
      </c>
      <c r="AB21" s="1" t="str">
        <f t="shared" si="23"/>
        <v/>
      </c>
      <c r="AC21" s="1" t="str">
        <f t="shared" si="24"/>
        <v/>
      </c>
      <c r="AD21" s="1" t="str">
        <f t="shared" si="25"/>
        <v/>
      </c>
      <c r="AE21" s="1" t="str">
        <f t="shared" si="26"/>
        <v/>
      </c>
      <c r="AF21" s="1" t="str">
        <f t="shared" si="27"/>
        <v/>
      </c>
      <c r="AG21" s="1" t="str">
        <f t="shared" si="28"/>
        <v/>
      </c>
      <c r="AH21" s="1" t="str">
        <f t="shared" si="29"/>
        <v/>
      </c>
      <c r="AI21" s="1" t="str">
        <f t="shared" si="30"/>
        <v/>
      </c>
      <c r="AJ21" s="1" t="str">
        <f t="shared" si="31"/>
        <v/>
      </c>
      <c r="AK21" s="1" t="str">
        <f t="shared" si="32"/>
        <v/>
      </c>
      <c r="AL21" s="1" t="str">
        <f t="shared" si="33"/>
        <v/>
      </c>
      <c r="AM21" s="1" t="str">
        <f t="shared" si="34"/>
        <v/>
      </c>
    </row>
    <row r="22" spans="1:39">
      <c r="A22" s="1" t="str">
        <f>IF(捏造NPC!D22="","",捏造NPC!D22)</f>
        <v/>
      </c>
      <c r="B22" s="1" t="str">
        <f>IF(捏造NPC!E22="","",捏造NPC!E22)</f>
        <v/>
      </c>
      <c r="C22" s="1" t="str">
        <f>IF(捏造NPC!F22="","",捏造NPC!F22)</f>
        <v/>
      </c>
      <c r="D22" s="1" t="str">
        <f>IF(捏造NPC!H22="","",捏造NPC!H22)</f>
        <v/>
      </c>
      <c r="E22" s="1" t="str">
        <f>IF(捏造NPC!I22="","",捏造NPC!I22)</f>
        <v/>
      </c>
      <c r="F22" s="1" t="str">
        <f t="shared" si="1"/>
        <v/>
      </c>
      <c r="G22" s="1" t="str">
        <f t="shared" si="2"/>
        <v/>
      </c>
      <c r="H22" s="1" t="str">
        <f t="shared" si="3"/>
        <v/>
      </c>
      <c r="I22" s="1" t="str">
        <f t="shared" si="4"/>
        <v/>
      </c>
      <c r="J22" s="1" t="str">
        <f t="shared" si="5"/>
        <v/>
      </c>
      <c r="K22" s="1" t="str">
        <f t="shared" si="6"/>
        <v/>
      </c>
      <c r="L22" s="1" t="str">
        <f t="shared" si="7"/>
        <v/>
      </c>
      <c r="M22" s="1" t="str">
        <f t="shared" si="8"/>
        <v/>
      </c>
      <c r="N22" s="1" t="str">
        <f t="shared" si="9"/>
        <v/>
      </c>
      <c r="O22" s="1" t="str">
        <f t="shared" si="10"/>
        <v/>
      </c>
      <c r="P22" s="1" t="str">
        <f t="shared" si="11"/>
        <v/>
      </c>
      <c r="Q22" s="1" t="str">
        <f t="shared" si="12"/>
        <v/>
      </c>
      <c r="R22" s="1" t="str">
        <f t="shared" si="13"/>
        <v/>
      </c>
      <c r="S22" s="1" t="str">
        <f t="shared" si="14"/>
        <v/>
      </c>
      <c r="T22" s="1" t="str">
        <f t="shared" si="15"/>
        <v/>
      </c>
      <c r="U22" s="1" t="str">
        <f t="shared" si="16"/>
        <v/>
      </c>
      <c r="V22" s="1" t="str">
        <f t="shared" si="17"/>
        <v/>
      </c>
      <c r="W22" s="1" t="str">
        <f t="shared" si="18"/>
        <v/>
      </c>
      <c r="X22" s="1" t="str">
        <f t="shared" si="19"/>
        <v/>
      </c>
      <c r="Y22" s="1" t="str">
        <f t="shared" si="20"/>
        <v/>
      </c>
      <c r="Z22" s="1" t="str">
        <f t="shared" si="21"/>
        <v/>
      </c>
      <c r="AA22" s="1" t="str">
        <f t="shared" si="22"/>
        <v/>
      </c>
      <c r="AB22" s="1" t="str">
        <f t="shared" si="23"/>
        <v/>
      </c>
      <c r="AC22" s="1" t="str">
        <f t="shared" si="24"/>
        <v/>
      </c>
      <c r="AD22" s="1" t="str">
        <f t="shared" si="25"/>
        <v/>
      </c>
      <c r="AE22" s="1" t="str">
        <f t="shared" si="26"/>
        <v/>
      </c>
      <c r="AF22" s="1" t="str">
        <f t="shared" si="27"/>
        <v/>
      </c>
      <c r="AG22" s="1" t="str">
        <f t="shared" si="28"/>
        <v/>
      </c>
      <c r="AH22" s="1" t="str">
        <f t="shared" si="29"/>
        <v/>
      </c>
      <c r="AI22" s="1" t="str">
        <f t="shared" si="30"/>
        <v/>
      </c>
      <c r="AJ22" s="1" t="str">
        <f t="shared" si="31"/>
        <v/>
      </c>
      <c r="AK22" s="1" t="str">
        <f t="shared" si="32"/>
        <v/>
      </c>
      <c r="AL22" s="1" t="str">
        <f t="shared" si="33"/>
        <v/>
      </c>
      <c r="AM22" s="1" t="str">
        <f t="shared" si="34"/>
        <v/>
      </c>
    </row>
    <row r="23" spans="1:39">
      <c r="A23" s="1" t="str">
        <f>IF(捏造NPC!D23="","",捏造NPC!D23)</f>
        <v/>
      </c>
      <c r="B23" s="1" t="str">
        <f>IF(捏造NPC!E23="","",捏造NPC!E23)</f>
        <v/>
      </c>
      <c r="C23" s="1" t="str">
        <f>IF(捏造NPC!F23="","",捏造NPC!F23)</f>
        <v/>
      </c>
      <c r="D23" s="1" t="str">
        <f>IF(捏造NPC!H23="","",捏造NPC!H23)</f>
        <v/>
      </c>
      <c r="E23" s="1" t="str">
        <f>IF(捏造NPC!I23="","",捏造NPC!I23)</f>
        <v/>
      </c>
      <c r="F23" s="1" t="str">
        <f t="shared" si="1"/>
        <v/>
      </c>
      <c r="G23" s="1" t="str">
        <f t="shared" si="2"/>
        <v/>
      </c>
      <c r="H23" s="1" t="str">
        <f t="shared" si="3"/>
        <v/>
      </c>
      <c r="I23" s="1" t="str">
        <f t="shared" si="4"/>
        <v/>
      </c>
      <c r="J23" s="1" t="str">
        <f t="shared" si="5"/>
        <v/>
      </c>
      <c r="K23" s="1" t="str">
        <f t="shared" si="6"/>
        <v/>
      </c>
      <c r="L23" s="1" t="str">
        <f t="shared" si="7"/>
        <v/>
      </c>
      <c r="M23" s="1" t="str">
        <f t="shared" si="8"/>
        <v/>
      </c>
      <c r="N23" s="1" t="str">
        <f t="shared" si="9"/>
        <v/>
      </c>
      <c r="O23" s="1" t="str">
        <f t="shared" si="10"/>
        <v/>
      </c>
      <c r="P23" s="1" t="str">
        <f t="shared" si="11"/>
        <v/>
      </c>
      <c r="Q23" s="1" t="str">
        <f t="shared" si="12"/>
        <v/>
      </c>
      <c r="R23" s="1" t="str">
        <f t="shared" si="13"/>
        <v/>
      </c>
      <c r="S23" s="1" t="str">
        <f t="shared" si="14"/>
        <v/>
      </c>
      <c r="T23" s="1" t="str">
        <f t="shared" si="15"/>
        <v/>
      </c>
      <c r="U23" s="1" t="str">
        <f t="shared" si="16"/>
        <v/>
      </c>
      <c r="V23" s="1" t="str">
        <f t="shared" si="17"/>
        <v/>
      </c>
      <c r="W23" s="1" t="str">
        <f t="shared" si="18"/>
        <v/>
      </c>
      <c r="X23" s="1" t="str">
        <f t="shared" si="19"/>
        <v/>
      </c>
      <c r="Y23" s="1" t="str">
        <f t="shared" si="20"/>
        <v/>
      </c>
      <c r="Z23" s="1" t="str">
        <f t="shared" si="21"/>
        <v/>
      </c>
      <c r="AA23" s="1" t="str">
        <f t="shared" si="22"/>
        <v/>
      </c>
      <c r="AB23" s="1" t="str">
        <f t="shared" si="23"/>
        <v/>
      </c>
      <c r="AC23" s="1" t="str">
        <f t="shared" si="24"/>
        <v/>
      </c>
      <c r="AD23" s="1" t="str">
        <f t="shared" si="25"/>
        <v/>
      </c>
      <c r="AE23" s="1" t="str">
        <f t="shared" si="26"/>
        <v/>
      </c>
      <c r="AF23" s="1" t="str">
        <f t="shared" si="27"/>
        <v/>
      </c>
      <c r="AG23" s="1" t="str">
        <f t="shared" si="28"/>
        <v/>
      </c>
      <c r="AH23" s="1" t="str">
        <f t="shared" si="29"/>
        <v/>
      </c>
      <c r="AI23" s="1" t="str">
        <f t="shared" si="30"/>
        <v/>
      </c>
      <c r="AJ23" s="1" t="str">
        <f t="shared" si="31"/>
        <v/>
      </c>
      <c r="AK23" s="1" t="str">
        <f t="shared" si="32"/>
        <v/>
      </c>
      <c r="AL23" s="1" t="str">
        <f t="shared" si="33"/>
        <v/>
      </c>
      <c r="AM23" s="1" t="str">
        <f t="shared" si="34"/>
        <v/>
      </c>
    </row>
    <row r="24" spans="1:39">
      <c r="A24" s="1" t="str">
        <f>IF(捏造NPC!D24="","",捏造NPC!D24)</f>
        <v/>
      </c>
      <c r="B24" s="1" t="str">
        <f>IF(捏造NPC!E24="","",捏造NPC!E24)</f>
        <v/>
      </c>
      <c r="C24" s="1" t="str">
        <f>IF(捏造NPC!F24="","",捏造NPC!F24)</f>
        <v/>
      </c>
      <c r="D24" s="1" t="str">
        <f>IF(捏造NPC!H24="","",捏造NPC!H24)</f>
        <v/>
      </c>
      <c r="E24" s="1" t="str">
        <f>IF(捏造NPC!I24="","",捏造NPC!I24)</f>
        <v/>
      </c>
      <c r="F24" s="1" t="str">
        <f t="shared" si="1"/>
        <v/>
      </c>
      <c r="G24" s="1" t="str">
        <f t="shared" si="2"/>
        <v/>
      </c>
      <c r="H24" s="1" t="str">
        <f t="shared" si="3"/>
        <v/>
      </c>
      <c r="I24" s="1" t="str">
        <f t="shared" si="4"/>
        <v/>
      </c>
      <c r="J24" s="1" t="str">
        <f t="shared" si="5"/>
        <v/>
      </c>
      <c r="K24" s="1" t="str">
        <f t="shared" si="6"/>
        <v/>
      </c>
      <c r="L24" s="1" t="str">
        <f t="shared" si="7"/>
        <v/>
      </c>
      <c r="M24" s="1" t="str">
        <f t="shared" si="8"/>
        <v/>
      </c>
      <c r="N24" s="1" t="str">
        <f t="shared" si="9"/>
        <v/>
      </c>
      <c r="O24" s="1" t="str">
        <f t="shared" si="10"/>
        <v/>
      </c>
      <c r="P24" s="1" t="str">
        <f t="shared" si="11"/>
        <v/>
      </c>
      <c r="Q24" s="1" t="str">
        <f t="shared" si="12"/>
        <v/>
      </c>
      <c r="R24" s="1" t="str">
        <f t="shared" si="13"/>
        <v/>
      </c>
      <c r="S24" s="1" t="str">
        <f t="shared" si="14"/>
        <v/>
      </c>
      <c r="T24" s="1" t="str">
        <f t="shared" si="15"/>
        <v/>
      </c>
      <c r="U24" s="1" t="str">
        <f t="shared" si="16"/>
        <v/>
      </c>
      <c r="V24" s="1" t="str">
        <f t="shared" si="17"/>
        <v/>
      </c>
      <c r="W24" s="1" t="str">
        <f t="shared" si="18"/>
        <v/>
      </c>
      <c r="X24" s="1" t="str">
        <f t="shared" si="19"/>
        <v/>
      </c>
      <c r="Y24" s="1" t="str">
        <f t="shared" si="20"/>
        <v/>
      </c>
      <c r="Z24" s="1" t="str">
        <f t="shared" si="21"/>
        <v/>
      </c>
      <c r="AA24" s="1" t="str">
        <f t="shared" si="22"/>
        <v/>
      </c>
      <c r="AB24" s="1" t="str">
        <f t="shared" si="23"/>
        <v/>
      </c>
      <c r="AC24" s="1" t="str">
        <f t="shared" si="24"/>
        <v/>
      </c>
      <c r="AD24" s="1" t="str">
        <f t="shared" si="25"/>
        <v/>
      </c>
      <c r="AE24" s="1" t="str">
        <f t="shared" si="26"/>
        <v/>
      </c>
      <c r="AF24" s="1" t="str">
        <f t="shared" si="27"/>
        <v/>
      </c>
      <c r="AG24" s="1" t="str">
        <f t="shared" si="28"/>
        <v/>
      </c>
      <c r="AH24" s="1" t="str">
        <f t="shared" si="29"/>
        <v/>
      </c>
      <c r="AI24" s="1" t="str">
        <f t="shared" si="30"/>
        <v/>
      </c>
      <c r="AJ24" s="1" t="str">
        <f t="shared" si="31"/>
        <v/>
      </c>
      <c r="AK24" s="1" t="str">
        <f t="shared" si="32"/>
        <v/>
      </c>
      <c r="AL24" s="1" t="str">
        <f t="shared" si="33"/>
        <v/>
      </c>
      <c r="AM24" s="1" t="str">
        <f t="shared" si="34"/>
        <v/>
      </c>
    </row>
    <row r="25" spans="11:28">
      <c r="K25" s="1" t="str">
        <f t="shared" si="6"/>
        <v/>
      </c>
      <c r="Z25" s="1"/>
      <c r="AA25" s="1"/>
      <c r="AB25" s="1"/>
    </row>
  </sheetData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24"/>
  <sheetViews>
    <sheetView workbookViewId="0">
      <selection activeCell="T40" sqref="T40"/>
    </sheetView>
  </sheetViews>
  <sheetFormatPr defaultColWidth="9" defaultRowHeight="13.5" outlineLevelCol="5"/>
  <cols>
    <col min="3" max="3" width="12" customWidth="1"/>
  </cols>
  <sheetData>
    <row r="1" spans="1:6">
      <c r="A1" s="1" t="s">
        <v>123</v>
      </c>
      <c r="B1" s="1" t="s">
        <v>124</v>
      </c>
      <c r="C1" s="1" t="s">
        <v>1159</v>
      </c>
      <c r="D1" s="1" t="s">
        <v>1160</v>
      </c>
      <c r="E1" s="1" t="s">
        <v>1161</v>
      </c>
      <c r="F1" s="1" t="s">
        <v>1162</v>
      </c>
    </row>
    <row r="2" spans="1:6">
      <c r="A2" s="1" t="s">
        <v>153</v>
      </c>
      <c r="B2" s="1" t="s">
        <v>154</v>
      </c>
      <c r="C2" s="1" t="s">
        <v>153</v>
      </c>
      <c r="D2" s="1" t="s">
        <v>153</v>
      </c>
      <c r="E2" s="1" t="s">
        <v>153</v>
      </c>
      <c r="F2" s="1" t="s">
        <v>153</v>
      </c>
    </row>
    <row r="3" spans="1:6">
      <c r="A3" s="1" t="s">
        <v>156</v>
      </c>
      <c r="B3" s="1"/>
      <c r="C3" s="1"/>
      <c r="D3" s="1"/>
      <c r="E3" s="1"/>
      <c r="F3" s="1"/>
    </row>
    <row r="4" spans="1:6">
      <c r="A4" s="1" t="s">
        <v>1163</v>
      </c>
      <c r="B4" s="1" t="s">
        <v>158</v>
      </c>
      <c r="C4" s="1" t="s">
        <v>1164</v>
      </c>
      <c r="D4" s="1" t="s">
        <v>1165</v>
      </c>
      <c r="E4" s="1" t="s">
        <v>1166</v>
      </c>
      <c r="F4" s="1" t="s">
        <v>1167</v>
      </c>
    </row>
    <row r="5" spans="1:6">
      <c r="A5">
        <f>发布任务!A28</f>
        <v>350</v>
      </c>
      <c r="B5" t="str">
        <f>IF(A5="","",发布任务!E28)</f>
        <v>资13-军衔任务</v>
      </c>
      <c r="C5">
        <f>IF($A5="","",0)</f>
        <v>0</v>
      </c>
      <c r="D5">
        <f>IF($A5="","",0)</f>
        <v>0</v>
      </c>
      <c r="E5">
        <f>IF($A5="","",0)</f>
        <v>0</v>
      </c>
      <c r="F5">
        <f>IF($A5="","",1)</f>
        <v>1</v>
      </c>
    </row>
    <row r="6" spans="1:6">
      <c r="A6">
        <f>发布任务!A29</f>
        <v>351</v>
      </c>
      <c r="B6" t="str">
        <f>IF(A6="","",发布任务!E29)</f>
        <v>资14-军衔任务</v>
      </c>
      <c r="C6">
        <f t="shared" ref="C6:C24" si="0">IF($A6="","",0)</f>
        <v>0</v>
      </c>
      <c r="D6">
        <f t="shared" ref="D6:D24" si="1">IF($A6="","",0)</f>
        <v>0</v>
      </c>
      <c r="E6">
        <f t="shared" ref="E6:E24" si="2">IF($A6="","",0)</f>
        <v>0</v>
      </c>
      <c r="F6">
        <f t="shared" ref="F6:F24" si="3">IF($A6="","",1)</f>
        <v>1</v>
      </c>
    </row>
    <row r="7" spans="1:6">
      <c r="A7" t="str">
        <f>发布任务!A30</f>
        <v/>
      </c>
      <c r="B7" t="str">
        <f>IF(A7="","",发布任务!E30)</f>
        <v/>
      </c>
      <c r="C7" t="str">
        <f t="shared" si="0"/>
        <v/>
      </c>
      <c r="D7" t="str">
        <f t="shared" si="1"/>
        <v/>
      </c>
      <c r="E7" t="str">
        <f t="shared" si="2"/>
        <v/>
      </c>
      <c r="F7" t="str">
        <f t="shared" si="3"/>
        <v/>
      </c>
    </row>
    <row r="8" spans="1:6">
      <c r="A8" t="str">
        <f>发布任务!A31</f>
        <v/>
      </c>
      <c r="B8" t="str">
        <f>IF(A8="","",发布任务!E31)</f>
        <v/>
      </c>
      <c r="C8" t="str">
        <f t="shared" si="0"/>
        <v/>
      </c>
      <c r="D8" t="str">
        <f t="shared" si="1"/>
        <v/>
      </c>
      <c r="E8" t="str">
        <f t="shared" si="2"/>
        <v/>
      </c>
      <c r="F8" t="str">
        <f t="shared" si="3"/>
        <v/>
      </c>
    </row>
    <row r="9" spans="1:6">
      <c r="A9" t="str">
        <f>发布任务!A32</f>
        <v/>
      </c>
      <c r="B9" t="str">
        <f>IF(A9="","",发布任务!E32)</f>
        <v/>
      </c>
      <c r="C9" t="str">
        <f t="shared" si="0"/>
        <v/>
      </c>
      <c r="D9" t="str">
        <f t="shared" si="1"/>
        <v/>
      </c>
      <c r="E9" t="str">
        <f t="shared" si="2"/>
        <v/>
      </c>
      <c r="F9" t="str">
        <f t="shared" si="3"/>
        <v/>
      </c>
    </row>
    <row r="10" spans="1:6">
      <c r="A10" t="str">
        <f>发布任务!A33</f>
        <v/>
      </c>
      <c r="B10" t="str">
        <f>IF(A10="","",发布任务!E33)</f>
        <v/>
      </c>
      <c r="C10" t="str">
        <f t="shared" si="0"/>
        <v/>
      </c>
      <c r="D10" t="str">
        <f t="shared" si="1"/>
        <v/>
      </c>
      <c r="E10" t="str">
        <f t="shared" si="2"/>
        <v/>
      </c>
      <c r="F10" t="str">
        <f t="shared" si="3"/>
        <v/>
      </c>
    </row>
    <row r="11" spans="1:6">
      <c r="A11" t="str">
        <f>发布任务!A34</f>
        <v/>
      </c>
      <c r="B11" t="str">
        <f>IF(A11="","",发布任务!E34)</f>
        <v/>
      </c>
      <c r="C11" t="str">
        <f t="shared" si="0"/>
        <v/>
      </c>
      <c r="D11" t="str">
        <f t="shared" si="1"/>
        <v/>
      </c>
      <c r="E11" t="str">
        <f t="shared" si="2"/>
        <v/>
      </c>
      <c r="F11" t="str">
        <f t="shared" si="3"/>
        <v/>
      </c>
    </row>
    <row r="12" spans="1:6">
      <c r="A12" t="str">
        <f>发布任务!A35</f>
        <v/>
      </c>
      <c r="B12" t="str">
        <f>IF(A12="","",发布任务!E35)</f>
        <v/>
      </c>
      <c r="C12" t="str">
        <f t="shared" si="0"/>
        <v/>
      </c>
      <c r="D12" t="str">
        <f t="shared" si="1"/>
        <v/>
      </c>
      <c r="E12" t="str">
        <f t="shared" si="2"/>
        <v/>
      </c>
      <c r="F12" t="str">
        <f t="shared" si="3"/>
        <v/>
      </c>
    </row>
    <row r="13" spans="1:6">
      <c r="A13" t="str">
        <f>发布任务!A36</f>
        <v/>
      </c>
      <c r="B13" t="str">
        <f>IF(A13="","",发布任务!E36)</f>
        <v/>
      </c>
      <c r="C13" t="str">
        <f t="shared" si="0"/>
        <v/>
      </c>
      <c r="D13" t="str">
        <f t="shared" si="1"/>
        <v/>
      </c>
      <c r="E13" t="str">
        <f t="shared" si="2"/>
        <v/>
      </c>
      <c r="F13" t="str">
        <f t="shared" si="3"/>
        <v/>
      </c>
    </row>
    <row r="14" spans="1:6">
      <c r="A14" t="str">
        <f>发布任务!A37</f>
        <v/>
      </c>
      <c r="B14" t="str">
        <f>IF(A14="","",发布任务!E37)</f>
        <v/>
      </c>
      <c r="C14" t="str">
        <f t="shared" si="0"/>
        <v/>
      </c>
      <c r="D14" t="str">
        <f t="shared" si="1"/>
        <v/>
      </c>
      <c r="E14" t="str">
        <f t="shared" si="2"/>
        <v/>
      </c>
      <c r="F14" t="str">
        <f t="shared" si="3"/>
        <v/>
      </c>
    </row>
    <row r="15" spans="1:6">
      <c r="A15" t="str">
        <f>发布任务!A38</f>
        <v/>
      </c>
      <c r="B15" t="str">
        <f>IF(A15="","",发布任务!E38)</f>
        <v/>
      </c>
      <c r="C15" t="str">
        <f t="shared" si="0"/>
        <v/>
      </c>
      <c r="D15" t="str">
        <f t="shared" si="1"/>
        <v/>
      </c>
      <c r="E15" t="str">
        <f t="shared" si="2"/>
        <v/>
      </c>
      <c r="F15" t="str">
        <f t="shared" si="3"/>
        <v/>
      </c>
    </row>
    <row r="16" spans="1:6">
      <c r="A16" t="str">
        <f>发布任务!A39</f>
        <v/>
      </c>
      <c r="B16" t="str">
        <f>IF(A16="","",发布任务!E39)</f>
        <v/>
      </c>
      <c r="C16" t="str">
        <f t="shared" si="0"/>
        <v/>
      </c>
      <c r="D16" t="str">
        <f t="shared" si="1"/>
        <v/>
      </c>
      <c r="E16" t="str">
        <f t="shared" si="2"/>
        <v/>
      </c>
      <c r="F16" t="str">
        <f t="shared" si="3"/>
        <v/>
      </c>
    </row>
    <row r="17" spans="1:6">
      <c r="A17" t="str">
        <f>发布任务!A40</f>
        <v/>
      </c>
      <c r="B17" t="str">
        <f>IF(A17="","",发布任务!E40)</f>
        <v/>
      </c>
      <c r="C17" t="str">
        <f t="shared" si="0"/>
        <v/>
      </c>
      <c r="D17" t="str">
        <f t="shared" si="1"/>
        <v/>
      </c>
      <c r="E17" t="str">
        <f t="shared" si="2"/>
        <v/>
      </c>
      <c r="F17" t="str">
        <f t="shared" si="3"/>
        <v/>
      </c>
    </row>
    <row r="18" spans="1:6">
      <c r="A18" t="str">
        <f>发布任务!A41</f>
        <v/>
      </c>
      <c r="B18" t="str">
        <f>IF(A18="","",发布任务!E41)</f>
        <v/>
      </c>
      <c r="C18" t="str">
        <f t="shared" si="0"/>
        <v/>
      </c>
      <c r="D18" t="str">
        <f t="shared" si="1"/>
        <v/>
      </c>
      <c r="E18" t="str">
        <f t="shared" si="2"/>
        <v/>
      </c>
      <c r="F18" t="str">
        <f t="shared" si="3"/>
        <v/>
      </c>
    </row>
    <row r="19" spans="1:6">
      <c r="A19" t="str">
        <f>发布任务!A42</f>
        <v/>
      </c>
      <c r="B19" t="str">
        <f>IF(A19="","",发布任务!E42)</f>
        <v/>
      </c>
      <c r="C19" t="str">
        <f t="shared" si="0"/>
        <v/>
      </c>
      <c r="D19" t="str">
        <f t="shared" si="1"/>
        <v/>
      </c>
      <c r="E19" t="str">
        <f t="shared" si="2"/>
        <v/>
      </c>
      <c r="F19" t="str">
        <f t="shared" si="3"/>
        <v/>
      </c>
    </row>
    <row r="20" spans="1:6">
      <c r="A20" t="str">
        <f>发布任务!A43</f>
        <v/>
      </c>
      <c r="B20" t="str">
        <f>IF(A20="","",发布任务!E43)</f>
        <v/>
      </c>
      <c r="C20" t="str">
        <f t="shared" si="0"/>
        <v/>
      </c>
      <c r="D20" t="str">
        <f t="shared" si="1"/>
        <v/>
      </c>
      <c r="E20" t="str">
        <f t="shared" si="2"/>
        <v/>
      </c>
      <c r="F20" t="str">
        <f t="shared" si="3"/>
        <v/>
      </c>
    </row>
    <row r="21" spans="1:6">
      <c r="A21" t="str">
        <f>发布任务!A44</f>
        <v/>
      </c>
      <c r="B21" t="str">
        <f>IF(A21="","",发布任务!E44)</f>
        <v/>
      </c>
      <c r="C21" t="str">
        <f t="shared" si="0"/>
        <v/>
      </c>
      <c r="D21" t="str">
        <f t="shared" si="1"/>
        <v/>
      </c>
      <c r="E21" t="str">
        <f t="shared" si="2"/>
        <v/>
      </c>
      <c r="F21" t="str">
        <f t="shared" si="3"/>
        <v/>
      </c>
    </row>
    <row r="22" spans="1:6">
      <c r="A22" t="str">
        <f>发布任务!A45</f>
        <v/>
      </c>
      <c r="B22" t="str">
        <f>IF(A22="","",发布任务!E45)</f>
        <v/>
      </c>
      <c r="C22" t="str">
        <f t="shared" si="0"/>
        <v/>
      </c>
      <c r="D22" t="str">
        <f t="shared" si="1"/>
        <v/>
      </c>
      <c r="E22" t="str">
        <f t="shared" si="2"/>
        <v/>
      </c>
      <c r="F22" t="str">
        <f t="shared" si="3"/>
        <v/>
      </c>
    </row>
    <row r="23" spans="1:6">
      <c r="A23" t="str">
        <f>发布任务!A46</f>
        <v/>
      </c>
      <c r="B23" t="str">
        <f>IF(A23="","",发布任务!E46)</f>
        <v/>
      </c>
      <c r="C23" t="str">
        <f t="shared" si="0"/>
        <v/>
      </c>
      <c r="D23" t="str">
        <f t="shared" si="1"/>
        <v/>
      </c>
      <c r="E23" t="str">
        <f t="shared" si="2"/>
        <v/>
      </c>
      <c r="F23" t="str">
        <f t="shared" si="3"/>
        <v/>
      </c>
    </row>
    <row r="24" spans="1:6">
      <c r="A24" t="str">
        <f>发布任务!A47</f>
        <v/>
      </c>
      <c r="B24" t="str">
        <f>IF(A24="","",发布任务!E47)</f>
        <v/>
      </c>
      <c r="C24" t="str">
        <f t="shared" si="0"/>
        <v/>
      </c>
      <c r="D24" t="str">
        <f t="shared" si="1"/>
        <v/>
      </c>
      <c r="E24" t="str">
        <f t="shared" si="2"/>
        <v/>
      </c>
      <c r="F24" t="str">
        <f t="shared" si="3"/>
        <v/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发布任务</vt:lpstr>
      <vt:lpstr>编写对白</vt:lpstr>
      <vt:lpstr>捏造NPC</vt:lpstr>
      <vt:lpstr>搭建场景（待定）</vt:lpstr>
      <vt:lpstr>NewGuideNode</vt:lpstr>
      <vt:lpstr>ClientNpc</vt:lpstr>
      <vt:lpstr>MisBase</vt:lpstr>
      <vt:lpstr>MisDialog</vt:lpstr>
      <vt:lpstr>MisDictionary</vt:lpstr>
      <vt:lpstr>MisBonus</vt:lpstr>
      <vt:lpstr>MisLimit</vt:lpstr>
      <vt:lpstr>NpcDialog</vt:lpstr>
      <vt:lpstr>NpcAttr</vt:lpstr>
      <vt:lpstr>NewGuideTrigger</vt:lpstr>
      <vt:lpstr>SceneNpc</vt:lpstr>
      <vt:lpstr>RoleBaseAttr</vt:lpstr>
      <vt:lpstr>CharModel</vt:lpstr>
      <vt:lpstr>MisNewGuide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2023-05-12T11:15:00Z</dcterms:created>
  <dcterms:modified xsi:type="dcterms:W3CDTF">2023-12-11T11:02:13Z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1E21228205FC40A1B85F1D95167362C9_13</vt:lpwstr>
  </property>
  <property fmtid="{D5CDD505-2E9C-101B-9397-08002B2CF9AE}" pid="3" name="KSOProductBuildVer">
    <vt:lpwstr>2052-12.1.0.15990</vt:lpwstr>
  </property>
</Properties>
</file>